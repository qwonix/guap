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6\"/>
    </mc:Choice>
  </mc:AlternateContent>
  <xr:revisionPtr revIDLastSave="0" documentId="13_ncr:1_{926B779E-B530-4FC0-A824-300879F04D52}" xr6:coauthVersionLast="47" xr6:coauthVersionMax="47" xr10:uidLastSave="{00000000-0000-0000-0000-000000000000}"/>
  <bookViews>
    <workbookView xWindow="3195" yWindow="3690" windowWidth="22620" windowHeight="11340" xr2:uid="{00000000-000D-0000-FFFF-FFFF00000000}"/>
  </bookViews>
  <sheets>
    <sheet name="3 бита" sheetId="1" r:id="rId1"/>
    <sheet name="Лист1" sheetId="3" r:id="rId2"/>
    <sheet name="4 бита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5" i="3" l="1"/>
  <c r="B25" i="3"/>
  <c r="C25" i="3"/>
  <c r="D25" i="3"/>
  <c r="E25" i="3"/>
  <c r="F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11" i="3"/>
  <c r="B11" i="3"/>
  <c r="C11" i="3"/>
  <c r="A12" i="3"/>
  <c r="B12" i="3"/>
  <c r="C12" i="3"/>
  <c r="A13" i="3"/>
  <c r="B13" i="3"/>
  <c r="C13" i="3"/>
  <c r="A14" i="3"/>
  <c r="B14" i="3"/>
  <c r="C14" i="3"/>
  <c r="A6" i="3"/>
  <c r="B6" i="3"/>
  <c r="C6" i="3"/>
  <c r="A7" i="3"/>
  <c r="B7" i="3"/>
  <c r="C7" i="3"/>
  <c r="A8" i="3"/>
  <c r="B8" i="3"/>
  <c r="C8" i="3"/>
  <c r="A9" i="3"/>
  <c r="B9" i="3"/>
  <c r="C9" i="3"/>
  <c r="A1" i="3"/>
  <c r="B1" i="3"/>
  <c r="C1" i="3"/>
  <c r="D1" i="3"/>
  <c r="E1" i="3"/>
  <c r="F1" i="3"/>
  <c r="G1" i="3"/>
  <c r="H1" i="3"/>
  <c r="A2" i="3"/>
  <c r="B2" i="3"/>
  <c r="C2" i="3"/>
  <c r="D2" i="3"/>
  <c r="E2" i="3"/>
  <c r="F2" i="3"/>
  <c r="G2" i="3"/>
  <c r="H2" i="3"/>
  <c r="A3" i="3"/>
  <c r="B3" i="3"/>
  <c r="C3" i="3"/>
  <c r="D3" i="3"/>
  <c r="E3" i="3"/>
  <c r="F3" i="3"/>
  <c r="G3" i="3"/>
  <c r="H3" i="3"/>
  <c r="A4" i="3"/>
  <c r="B4" i="3"/>
  <c r="C4" i="3"/>
  <c r="D4" i="3"/>
  <c r="E4" i="3"/>
  <c r="F4" i="3"/>
  <c r="G4" i="3"/>
  <c r="H4" i="3"/>
  <c r="C35" i="2"/>
  <c r="C42" i="2"/>
  <c r="C41" i="2"/>
  <c r="C39" i="2"/>
  <c r="J38" i="2"/>
  <c r="J36" i="2"/>
  <c r="J35" i="2"/>
  <c r="I38" i="2"/>
  <c r="I36" i="2"/>
  <c r="I35" i="2"/>
  <c r="H38" i="2"/>
  <c r="H36" i="2"/>
  <c r="H35" i="2"/>
  <c r="G38" i="2"/>
  <c r="G36" i="2"/>
  <c r="G35" i="2"/>
  <c r="F38" i="2"/>
  <c r="F36" i="2"/>
  <c r="F35" i="2"/>
  <c r="E38" i="2"/>
  <c r="E36" i="2"/>
  <c r="E35" i="2"/>
  <c r="D38" i="2"/>
  <c r="D36" i="2"/>
  <c r="D35" i="2"/>
  <c r="C38" i="2"/>
  <c r="C36" i="2"/>
  <c r="B17" i="1"/>
  <c r="B16" i="1"/>
  <c r="K55" i="1"/>
  <c r="K54" i="1"/>
  <c r="J55" i="1"/>
  <c r="J54" i="1"/>
  <c r="I55" i="1"/>
  <c r="I54" i="1"/>
  <c r="H55" i="1"/>
  <c r="H54" i="1"/>
  <c r="E56" i="1"/>
  <c r="E55" i="1"/>
  <c r="D56" i="1"/>
  <c r="D55" i="1"/>
  <c r="C56" i="1"/>
  <c r="C55" i="1"/>
  <c r="B56" i="1"/>
  <c r="B55" i="1"/>
  <c r="C16" i="1"/>
  <c r="AC19" i="1"/>
  <c r="AC17" i="1"/>
  <c r="AC16" i="1"/>
  <c r="AB19" i="1"/>
  <c r="AB17" i="1"/>
  <c r="AB16" i="1"/>
  <c r="AA19" i="1"/>
  <c r="AA17" i="1"/>
  <c r="AA16" i="1"/>
  <c r="Z19" i="1"/>
  <c r="Z17" i="1"/>
  <c r="Z16" i="1"/>
  <c r="Y19" i="1"/>
  <c r="Y17" i="1"/>
  <c r="Y16" i="1"/>
  <c r="X19" i="1"/>
  <c r="X17" i="1"/>
  <c r="X16" i="1"/>
  <c r="W19" i="1"/>
  <c r="W17" i="1"/>
  <c r="W16" i="1"/>
  <c r="V19" i="1"/>
  <c r="V17" i="1"/>
  <c r="V16" i="1"/>
  <c r="S19" i="1"/>
  <c r="S17" i="1"/>
  <c r="S16" i="1"/>
  <c r="R19" i="1"/>
  <c r="R17" i="1"/>
  <c r="R16" i="1"/>
  <c r="Q19" i="1"/>
  <c r="Q17" i="1"/>
  <c r="Q16" i="1"/>
  <c r="P19" i="1"/>
  <c r="P17" i="1"/>
  <c r="P16" i="1"/>
  <c r="O19" i="1"/>
  <c r="O18" i="1"/>
  <c r="O17" i="1"/>
  <c r="O16" i="1"/>
  <c r="N19" i="1"/>
  <c r="N17" i="1"/>
  <c r="N16" i="1"/>
  <c r="M19" i="1"/>
  <c r="M17" i="1"/>
  <c r="M16" i="1"/>
  <c r="L19" i="1"/>
  <c r="L17" i="1"/>
  <c r="L16" i="1"/>
  <c r="U19" i="1"/>
  <c r="AC18" i="1"/>
  <c r="AB18" i="1"/>
  <c r="AA18" i="1"/>
  <c r="Z18" i="1"/>
  <c r="Y18" i="1"/>
  <c r="X18" i="1"/>
  <c r="W18" i="1"/>
  <c r="V18" i="1"/>
  <c r="U18" i="1"/>
  <c r="U17" i="1"/>
  <c r="U16" i="1"/>
  <c r="AC15" i="1"/>
  <c r="AB15" i="1"/>
  <c r="AA15" i="1"/>
  <c r="Z15" i="1"/>
  <c r="Y15" i="1"/>
  <c r="X15" i="1"/>
  <c r="W15" i="1"/>
  <c r="V15" i="1"/>
  <c r="U15" i="1"/>
  <c r="K19" i="1"/>
  <c r="S18" i="1"/>
  <c r="R18" i="1"/>
  <c r="Q18" i="1"/>
  <c r="P18" i="1"/>
  <c r="N18" i="1"/>
  <c r="M18" i="1"/>
  <c r="L18" i="1"/>
  <c r="K18" i="1"/>
  <c r="K17" i="1"/>
  <c r="K16" i="1"/>
  <c r="S15" i="1"/>
  <c r="R15" i="1"/>
  <c r="Q15" i="1"/>
  <c r="P15" i="1"/>
  <c r="O15" i="1"/>
  <c r="N15" i="1"/>
  <c r="M15" i="1"/>
  <c r="L15" i="1"/>
  <c r="K15" i="1"/>
  <c r="I19" i="1"/>
  <c r="H19" i="1"/>
  <c r="G19" i="1"/>
  <c r="F19" i="1"/>
  <c r="E19" i="1"/>
  <c r="D19" i="1"/>
  <c r="F17" i="1"/>
  <c r="G17" i="1"/>
  <c r="H17" i="1"/>
  <c r="I17" i="1"/>
  <c r="I18" i="1"/>
  <c r="I16" i="1"/>
  <c r="H16" i="1"/>
  <c r="G16" i="1"/>
  <c r="F16" i="1"/>
  <c r="E17" i="1"/>
  <c r="E16" i="1"/>
  <c r="D16" i="1"/>
  <c r="D17" i="1"/>
  <c r="C19" i="1"/>
  <c r="B19" i="1"/>
  <c r="C17" i="1"/>
  <c r="A15" i="1"/>
  <c r="B15" i="1"/>
  <c r="C15" i="1"/>
  <c r="D15" i="1"/>
  <c r="E15" i="1"/>
  <c r="F15" i="1"/>
  <c r="G15" i="1"/>
  <c r="H15" i="1"/>
  <c r="I15" i="1"/>
  <c r="A16" i="1"/>
  <c r="A17" i="1"/>
  <c r="A18" i="1"/>
  <c r="B18" i="1"/>
  <c r="C18" i="1"/>
  <c r="D18" i="1"/>
  <c r="E18" i="1"/>
  <c r="F18" i="1"/>
  <c r="G18" i="1"/>
  <c r="H18" i="1"/>
  <c r="A19" i="1"/>
</calcChain>
</file>

<file path=xl/sharedStrings.xml><?xml version="1.0" encoding="utf-8"?>
<sst xmlns="http://schemas.openxmlformats.org/spreadsheetml/2006/main" count="383" uniqueCount="73">
  <si>
    <t>Q3Q2Q1</t>
  </si>
  <si>
    <t>x2x1</t>
  </si>
  <si>
    <t>-</t>
  </si>
  <si>
    <t>00</t>
  </si>
  <si>
    <t>01</t>
  </si>
  <si>
    <t>001</t>
  </si>
  <si>
    <t>000</t>
  </si>
  <si>
    <t>010</t>
  </si>
  <si>
    <t>011</t>
  </si>
  <si>
    <t>0</t>
  </si>
  <si>
    <t>1</t>
  </si>
  <si>
    <t>x1 = x1</t>
  </si>
  <si>
    <t>x2 = Q2</t>
  </si>
  <si>
    <t>x3 = x2</t>
  </si>
  <si>
    <t>x4 = Q3</t>
  </si>
  <si>
    <t>x0 = Q1</t>
  </si>
  <si>
    <t>B</t>
  </si>
  <si>
    <t>10</t>
  </si>
  <si>
    <t>Q3</t>
  </si>
  <si>
    <t>Q1</t>
  </si>
  <si>
    <t>Q1Q2</t>
  </si>
  <si>
    <t>Q2</t>
  </si>
  <si>
    <t>Входной символ</t>
  </si>
  <si>
    <t>Состояние</t>
  </si>
  <si>
    <t>a</t>
  </si>
  <si>
    <t>Выходной символ</t>
  </si>
  <si>
    <t>x2</t>
  </si>
  <si>
    <t>x1</t>
  </si>
  <si>
    <t>y2</t>
  </si>
  <si>
    <t>y1</t>
  </si>
  <si>
    <t>a0</t>
  </si>
  <si>
    <t>Q4</t>
  </si>
  <si>
    <t>a1</t>
  </si>
  <si>
    <t>a2</t>
  </si>
  <si>
    <t>a3</t>
  </si>
  <si>
    <t>a4</t>
  </si>
  <si>
    <t>a5</t>
  </si>
  <si>
    <t>a6</t>
  </si>
  <si>
    <t>a7</t>
  </si>
  <si>
    <t>a8</t>
  </si>
  <si>
    <t>z1</t>
  </si>
  <si>
    <t>z2</t>
  </si>
  <si>
    <t>z3</t>
  </si>
  <si>
    <t>Q4Q3Q2Q1</t>
  </si>
  <si>
    <t>T4</t>
  </si>
  <si>
    <t>T3</t>
  </si>
  <si>
    <t>T2</t>
  </si>
  <si>
    <t>T1</t>
  </si>
  <si>
    <t>x1x2\Q4Q3Q2Q1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</si>
  <si>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</si>
  <si>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</si>
  <si>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</si>
  <si>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</si>
  <si>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</si>
  <si>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</si>
  <si>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</si>
  <si>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</si>
  <si>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</si>
  <si>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Т\Q</t>
  </si>
  <si>
    <t>Q2Q3</t>
  </si>
  <si>
    <t>Q1Q2Q3</t>
  </si>
  <si>
    <t>Q1Q3</t>
  </si>
  <si>
    <t>x1x2</t>
  </si>
  <si>
    <t>x2x1\</t>
  </si>
  <si>
    <t>x2Q4</t>
  </si>
  <si>
    <t>x1x2Q4</t>
  </si>
  <si>
    <t>x1Q4</t>
  </si>
  <si>
    <t>Сайт</t>
  </si>
  <si>
    <t>ссылка</t>
  </si>
  <si>
    <t>Allow Don’t-Care: Yes</t>
  </si>
  <si>
    <t>Number of input variables: 5</t>
  </si>
  <si>
    <t>x5 = Q4</t>
  </si>
  <si>
    <t>Q3Q4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</si>
</sst>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49" fontId="1" fillId="0" borderId="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1" fillId="0" borderId="2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1" fillId="0" borderId="2" xfId="0" applyNumberFormat="1" applyFont="1" applyBorder="1"/>
    <xf numFmtId="0" fontId="1" fillId="0" borderId="1" xfId="0" applyNumberFormat="1" applyFont="1" applyBorder="1"/>
    <xf numFmtId="0" fontId="1" fillId="0" borderId="0" xfId="0" applyNumberFormat="1" applyFont="1" applyBorder="1"/>
    <xf numFmtId="49" fontId="1" fillId="0" borderId="1" xfId="0" applyNumberFormat="1" applyFont="1" applyBorder="1"/>
    <xf numFmtId="49" fontId="1" fillId="0" borderId="0" xfId="0" applyNumberFormat="1" applyFont="1"/>
    <xf numFmtId="49" fontId="1" fillId="0" borderId="2" xfId="0" applyNumberFormat="1" applyFont="1" applyBorder="1"/>
    <xf numFmtId="0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1" xfId="0" applyNumberFormat="1" applyFont="1" applyBorder="1"/>
    <xf numFmtId="0" fontId="2" fillId="0" borderId="1" xfId="0" applyNumberFormat="1" applyFont="1" applyBorder="1"/>
    <xf numFmtId="0" fontId="3" fillId="0" borderId="0" xfId="1" applyNumberFormat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/>
    <xf numFmtId="0" fontId="1" fillId="0" borderId="1" xfId="0" applyNumberFormat="1" applyFont="1" applyFill="1" applyBorder="1"/>
    <xf numFmtId="49" fontId="1" fillId="0" borderId="1" xfId="0" applyNumberFormat="1" applyFont="1" applyFill="1" applyBorder="1"/>
    <xf numFmtId="49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186417</xdr:colOff>
      <xdr:row>24</xdr:row>
      <xdr:rowOff>40822</xdr:rowOff>
    </xdr:from>
    <xdr:to>
      <xdr:col>29</xdr:col>
      <xdr:colOff>493452</xdr:colOff>
      <xdr:row>40</xdr:row>
      <xdr:rowOff>13608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28DA78-74D5-B022-857A-A80EA6D6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1596" y="5483679"/>
          <a:ext cx="4892642" cy="3020786"/>
        </a:xfrm>
        <a:prstGeom prst="rect">
          <a:avLst/>
        </a:prstGeom>
      </xdr:spPr>
    </xdr:pic>
    <xdr:clientData/>
  </xdr:twoCellAnchor>
  <xdr:twoCellAnchor editAs="oneCell">
    <xdr:from>
      <xdr:col>31</xdr:col>
      <xdr:colOff>27213</xdr:colOff>
      <xdr:row>25</xdr:row>
      <xdr:rowOff>54429</xdr:rowOff>
    </xdr:from>
    <xdr:to>
      <xdr:col>38</xdr:col>
      <xdr:colOff>76719</xdr:colOff>
      <xdr:row>40</xdr:row>
      <xdr:rowOff>27214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1411B0A-7AD3-E863-2CBE-7DD005245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3963" y="5687786"/>
          <a:ext cx="4335756" cy="2830285"/>
        </a:xfrm>
        <a:prstGeom prst="rect">
          <a:avLst/>
        </a:prstGeom>
      </xdr:spPr>
    </xdr:pic>
    <xdr:clientData/>
  </xdr:twoCellAnchor>
  <xdr:twoCellAnchor editAs="oneCell">
    <xdr:from>
      <xdr:col>0</xdr:col>
      <xdr:colOff>767444</xdr:colOff>
      <xdr:row>23</xdr:row>
      <xdr:rowOff>176893</xdr:rowOff>
    </xdr:from>
    <xdr:to>
      <xdr:col>17</xdr:col>
      <xdr:colOff>242685</xdr:colOff>
      <xdr:row>41</xdr:row>
      <xdr:rowOff>136071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7427A1-B929-8FE1-328E-FE1DFC96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444" y="5429250"/>
          <a:ext cx="5258277" cy="338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thematik.uni-marburg.de/~thormae/lectures/ti1/code/karnaughm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topLeftCell="A50" zoomScale="70" zoomScaleNormal="70" workbookViewId="0">
      <selection activeCell="C67" sqref="C67:X69"/>
    </sheetView>
  </sheetViews>
  <sheetFormatPr defaultRowHeight="15" x14ac:dyDescent="0.25"/>
  <cols>
    <col min="1" max="1" width="11.5703125" style="8" customWidth="1"/>
    <col min="2" max="24" width="4.7109375" style="8" customWidth="1"/>
    <col min="25" max="25" width="5" style="8" bestFit="1" customWidth="1"/>
    <col min="26" max="26" width="9.140625" style="8"/>
    <col min="27" max="27" width="12.5703125" style="8" customWidth="1"/>
    <col min="28" max="16384" width="9.140625" style="8"/>
  </cols>
  <sheetData>
    <row r="1" spans="1:29" s="13" customFormat="1" ht="18" x14ac:dyDescent="0.25">
      <c r="B1" s="23"/>
      <c r="C1" s="23" t="s">
        <v>26</v>
      </c>
      <c r="D1" s="23" t="s">
        <v>27</v>
      </c>
      <c r="G1" s="23"/>
      <c r="H1" s="23" t="s">
        <v>28</v>
      </c>
      <c r="I1" s="23" t="s">
        <v>29</v>
      </c>
    </row>
    <row r="2" spans="1:29" ht="18" x14ac:dyDescent="0.25">
      <c r="B2" s="23">
        <v>0</v>
      </c>
      <c r="C2" s="23">
        <v>0</v>
      </c>
      <c r="D2" s="23">
        <v>0</v>
      </c>
      <c r="G2" s="23">
        <v>0</v>
      </c>
      <c r="H2" s="23">
        <v>0</v>
      </c>
      <c r="I2" s="23">
        <v>0</v>
      </c>
    </row>
    <row r="3" spans="1:29" ht="18" x14ac:dyDescent="0.25">
      <c r="B3" s="23">
        <v>1</v>
      </c>
      <c r="C3" s="23">
        <v>0</v>
      </c>
      <c r="D3" s="23">
        <v>1</v>
      </c>
      <c r="G3" s="23">
        <v>1</v>
      </c>
      <c r="H3" s="23">
        <v>0</v>
      </c>
      <c r="I3" s="23">
        <v>1</v>
      </c>
    </row>
    <row r="4" spans="1:29" ht="18" x14ac:dyDescent="0.25">
      <c r="B4" s="23" t="s">
        <v>24</v>
      </c>
      <c r="C4" s="23">
        <v>1</v>
      </c>
      <c r="D4" s="23">
        <v>0</v>
      </c>
      <c r="G4" s="23" t="s">
        <v>16</v>
      </c>
      <c r="H4" s="23">
        <v>1</v>
      </c>
      <c r="I4" s="23">
        <v>0</v>
      </c>
    </row>
    <row r="8" spans="1:29" ht="18" x14ac:dyDescent="0.25">
      <c r="A8" s="38" t="s">
        <v>0</v>
      </c>
      <c r="B8" s="1" t="s">
        <v>2</v>
      </c>
      <c r="C8" s="14" t="s">
        <v>9</v>
      </c>
      <c r="D8" s="15" t="s">
        <v>9</v>
      </c>
      <c r="E8" s="5" t="s">
        <v>2</v>
      </c>
      <c r="F8" s="6" t="s">
        <v>9</v>
      </c>
      <c r="G8" s="7" t="s">
        <v>10</v>
      </c>
      <c r="H8" s="5" t="s">
        <v>2</v>
      </c>
      <c r="I8" s="6" t="s">
        <v>9</v>
      </c>
      <c r="J8" s="7" t="s">
        <v>9</v>
      </c>
      <c r="K8" s="5" t="s">
        <v>2</v>
      </c>
      <c r="L8" s="6" t="s">
        <v>10</v>
      </c>
      <c r="M8" s="7" t="s">
        <v>9</v>
      </c>
      <c r="N8" s="5" t="s">
        <v>2</v>
      </c>
      <c r="O8" s="6" t="s">
        <v>9</v>
      </c>
      <c r="P8" s="7" t="s">
        <v>10</v>
      </c>
      <c r="Q8" s="5" t="s">
        <v>2</v>
      </c>
      <c r="R8" s="6" t="s">
        <v>9</v>
      </c>
      <c r="S8" s="7" t="s">
        <v>9</v>
      </c>
      <c r="T8" s="5" t="s">
        <v>2</v>
      </c>
      <c r="U8" s="6" t="s">
        <v>9</v>
      </c>
      <c r="V8" s="7" t="s">
        <v>9</v>
      </c>
      <c r="W8" s="5" t="s">
        <v>2</v>
      </c>
      <c r="X8" s="6" t="s">
        <v>2</v>
      </c>
      <c r="Y8" s="7" t="s">
        <v>2</v>
      </c>
      <c r="Z8" s="13"/>
      <c r="AA8" s="13"/>
      <c r="AB8" s="13"/>
      <c r="AC8" s="13"/>
    </row>
    <row r="9" spans="1:29" ht="18.75" thickBot="1" x14ac:dyDescent="0.3">
      <c r="A9" s="39"/>
      <c r="B9" s="30" t="s">
        <v>6</v>
      </c>
      <c r="C9" s="31"/>
      <c r="D9" s="32"/>
      <c r="E9" s="30" t="s">
        <v>5</v>
      </c>
      <c r="F9" s="31"/>
      <c r="G9" s="32"/>
      <c r="H9" s="30" t="s">
        <v>7</v>
      </c>
      <c r="I9" s="31"/>
      <c r="J9" s="32"/>
      <c r="K9" s="30" t="s">
        <v>8</v>
      </c>
      <c r="L9" s="31"/>
      <c r="M9" s="32"/>
      <c r="N9" s="30">
        <v>100</v>
      </c>
      <c r="O9" s="31"/>
      <c r="P9" s="32"/>
      <c r="Q9" s="30">
        <v>101</v>
      </c>
      <c r="R9" s="31"/>
      <c r="S9" s="32"/>
      <c r="T9" s="30">
        <v>110</v>
      </c>
      <c r="U9" s="31"/>
      <c r="V9" s="32"/>
      <c r="W9" s="30">
        <v>111</v>
      </c>
      <c r="X9" s="31"/>
      <c r="Y9" s="32"/>
    </row>
    <row r="10" spans="1:29" ht="18.75" thickBot="1" x14ac:dyDescent="0.3">
      <c r="A10" s="9" t="s">
        <v>1</v>
      </c>
      <c r="B10" s="10">
        <v>3</v>
      </c>
      <c r="C10" s="11">
        <v>2</v>
      </c>
      <c r="D10" s="11">
        <v>1</v>
      </c>
      <c r="E10" s="11">
        <v>3</v>
      </c>
      <c r="F10" s="11">
        <v>2</v>
      </c>
      <c r="G10" s="11">
        <v>1</v>
      </c>
      <c r="H10" s="11">
        <v>3</v>
      </c>
      <c r="I10" s="11">
        <v>2</v>
      </c>
      <c r="J10" s="11">
        <v>1</v>
      </c>
      <c r="K10" s="11">
        <v>3</v>
      </c>
      <c r="L10" s="11">
        <v>2</v>
      </c>
      <c r="M10" s="11">
        <v>1</v>
      </c>
      <c r="N10" s="11">
        <v>3</v>
      </c>
      <c r="O10" s="11">
        <v>2</v>
      </c>
      <c r="P10" s="11">
        <v>1</v>
      </c>
      <c r="Q10" s="11">
        <v>3</v>
      </c>
      <c r="R10" s="11">
        <v>2</v>
      </c>
      <c r="S10" s="11">
        <v>1</v>
      </c>
      <c r="T10" s="11">
        <v>3</v>
      </c>
      <c r="U10" s="11">
        <v>2</v>
      </c>
      <c r="V10" s="11">
        <v>1</v>
      </c>
      <c r="W10" s="11">
        <v>3</v>
      </c>
      <c r="X10" s="11">
        <v>2</v>
      </c>
      <c r="Y10" s="12">
        <v>1</v>
      </c>
    </row>
    <row r="11" spans="1:29" ht="18" x14ac:dyDescent="0.25">
      <c r="A11" s="2">
        <v>0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1</v>
      </c>
      <c r="T11" s="3" t="s">
        <v>2</v>
      </c>
      <c r="U11" s="3" t="s">
        <v>2</v>
      </c>
      <c r="V11" s="3" t="s">
        <v>2</v>
      </c>
      <c r="W11" s="3" t="s">
        <v>2</v>
      </c>
      <c r="X11" s="3" t="s">
        <v>2</v>
      </c>
      <c r="Y11" s="3" t="s">
        <v>2</v>
      </c>
    </row>
    <row r="12" spans="1:29" ht="18" x14ac:dyDescent="0.25">
      <c r="A12" s="2" t="s">
        <v>4</v>
      </c>
      <c r="B12" s="2">
        <v>0</v>
      </c>
      <c r="C12" s="2">
        <v>1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 t="s">
        <v>2</v>
      </c>
      <c r="X12" s="2" t="s">
        <v>2</v>
      </c>
      <c r="Y12" s="2" t="s">
        <v>2</v>
      </c>
    </row>
    <row r="13" spans="1:29" ht="18" x14ac:dyDescent="0.25">
      <c r="A13" s="2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>
        <v>0</v>
      </c>
      <c r="O13" s="2">
        <v>0</v>
      </c>
      <c r="P13" s="2">
        <v>1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  <c r="X13" s="2" t="s">
        <v>2</v>
      </c>
      <c r="Y13" s="2" t="s">
        <v>2</v>
      </c>
    </row>
    <row r="14" spans="1:29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36" x14ac:dyDescent="0.25">
      <c r="A15" s="4" t="str">
        <f>""</f>
        <v/>
      </c>
      <c r="B15" s="4" t="str">
        <f>""</f>
        <v/>
      </c>
      <c r="C15" s="2" t="str">
        <f>"Q1"</f>
        <v>Q1</v>
      </c>
      <c r="D15" s="2" t="str">
        <f>"Q1Q2"</f>
        <v>Q1Q2</v>
      </c>
      <c r="E15" s="2" t="str">
        <f>"Q2"</f>
        <v>Q2</v>
      </c>
      <c r="F15" s="2" t="str">
        <f>"Q2Q3"</f>
        <v>Q2Q3</v>
      </c>
      <c r="G15" s="2" t="str">
        <f>"Q1Q2Q3"</f>
        <v>Q1Q2Q3</v>
      </c>
      <c r="H15" s="2" t="str">
        <f>"Q1Q3"</f>
        <v>Q1Q3</v>
      </c>
      <c r="I15" s="2" t="str">
        <f>"Q3"</f>
        <v>Q3</v>
      </c>
      <c r="J15" s="13"/>
      <c r="K15" s="4" t="str">
        <f>""</f>
        <v/>
      </c>
      <c r="L15" s="4" t="str">
        <f>""</f>
        <v/>
      </c>
      <c r="M15" s="2" t="str">
        <f>"Q1"</f>
        <v>Q1</v>
      </c>
      <c r="N15" s="2" t="str">
        <f>"Q1Q2"</f>
        <v>Q1Q2</v>
      </c>
      <c r="O15" s="2" t="str">
        <f>"Q2"</f>
        <v>Q2</v>
      </c>
      <c r="P15" s="2" t="str">
        <f>"Q2Q3"</f>
        <v>Q2Q3</v>
      </c>
      <c r="Q15" s="2" t="str">
        <f>"Q1Q2Q3"</f>
        <v>Q1Q2Q3</v>
      </c>
      <c r="R15" s="2" t="str">
        <f>"Q1Q3"</f>
        <v>Q1Q3</v>
      </c>
      <c r="S15" s="2" t="str">
        <f>"Q3"</f>
        <v>Q3</v>
      </c>
      <c r="U15" s="4" t="str">
        <f>""</f>
        <v/>
      </c>
      <c r="V15" s="4" t="str">
        <f>""</f>
        <v/>
      </c>
      <c r="W15" s="2" t="str">
        <f>"Q1"</f>
        <v>Q1</v>
      </c>
      <c r="X15" s="2" t="str">
        <f>"Q1Q2"</f>
        <v>Q1Q2</v>
      </c>
      <c r="Y15" s="2" t="str">
        <f>"Q2"</f>
        <v>Q2</v>
      </c>
      <c r="Z15" s="2" t="str">
        <f>"Q2Q3"</f>
        <v>Q2Q3</v>
      </c>
      <c r="AA15" s="2" t="str">
        <f>"Q1Q2Q3"</f>
        <v>Q1Q2Q3</v>
      </c>
      <c r="AB15" s="2" t="str">
        <f>"Q1Q3"</f>
        <v>Q1Q3</v>
      </c>
      <c r="AC15" s="2" t="str">
        <f>"Q3"</f>
        <v>Q3</v>
      </c>
    </row>
    <row r="16" spans="1:29" ht="18" x14ac:dyDescent="0.25">
      <c r="A16" s="4" t="str">
        <f>""</f>
        <v/>
      </c>
      <c r="B16" s="2">
        <f>$D$11</f>
        <v>0</v>
      </c>
      <c r="C16" s="2">
        <f>$G$11</f>
        <v>0</v>
      </c>
      <c r="D16" s="2">
        <f>$M$11</f>
        <v>0</v>
      </c>
      <c r="E16" s="2">
        <f>$J$11</f>
        <v>0</v>
      </c>
      <c r="F16" s="2" t="str">
        <f>$V$11</f>
        <v>-</v>
      </c>
      <c r="G16" s="2" t="str">
        <f>$Y$11</f>
        <v>-</v>
      </c>
      <c r="H16" s="2">
        <f>$S$11</f>
        <v>1</v>
      </c>
      <c r="I16" s="2">
        <f>$P$11</f>
        <v>1</v>
      </c>
      <c r="J16" s="13"/>
      <c r="K16" s="4" t="str">
        <f>""</f>
        <v/>
      </c>
      <c r="L16" s="2">
        <f>$C$11</f>
        <v>1</v>
      </c>
      <c r="M16" s="2">
        <f>$F$11</f>
        <v>1</v>
      </c>
      <c r="N16" s="2">
        <f>$L$11</f>
        <v>0</v>
      </c>
      <c r="O16" s="2">
        <f>$I$11</f>
        <v>0</v>
      </c>
      <c r="P16" s="2" t="str">
        <f>$U$11</f>
        <v>-</v>
      </c>
      <c r="Q16" s="2" t="str">
        <f>$X$11</f>
        <v>-</v>
      </c>
      <c r="R16" s="2">
        <f>$R$11</f>
        <v>0</v>
      </c>
      <c r="S16" s="2">
        <f>$O$11</f>
        <v>0</v>
      </c>
      <c r="U16" s="4" t="str">
        <f>""</f>
        <v/>
      </c>
      <c r="V16" s="2">
        <f>$B$11</f>
        <v>0</v>
      </c>
      <c r="W16" s="2">
        <f>$E$11</f>
        <v>0</v>
      </c>
      <c r="X16" s="2">
        <f>$K$11</f>
        <v>1</v>
      </c>
      <c r="Y16" s="2">
        <f>$H$11</f>
        <v>1</v>
      </c>
      <c r="Z16" s="2" t="str">
        <f>$T$11</f>
        <v>-</v>
      </c>
      <c r="AA16" s="2" t="str">
        <f>$W$11</f>
        <v>-</v>
      </c>
      <c r="AB16" s="2">
        <f>$Q$11</f>
        <v>0</v>
      </c>
      <c r="AC16" s="2">
        <f>$N$11</f>
        <v>0</v>
      </c>
    </row>
    <row r="17" spans="1:29" ht="18" x14ac:dyDescent="0.25">
      <c r="A17" s="2" t="str">
        <f>"x1"</f>
        <v>x1</v>
      </c>
      <c r="B17" s="2">
        <f>$D$12</f>
        <v>1</v>
      </c>
      <c r="C17" s="2">
        <f>$G$12</f>
        <v>1</v>
      </c>
      <c r="D17" s="2">
        <f>$M$12</f>
        <v>1</v>
      </c>
      <c r="E17" s="2">
        <f>$J$12</f>
        <v>0</v>
      </c>
      <c r="F17" s="2">
        <f>$V$12</f>
        <v>1</v>
      </c>
      <c r="G17" s="2" t="str">
        <f>$Y$12</f>
        <v>-</v>
      </c>
      <c r="H17" s="2">
        <f>$S$12</f>
        <v>0</v>
      </c>
      <c r="I17" s="2">
        <f>$P$12</f>
        <v>0</v>
      </c>
      <c r="J17" s="13"/>
      <c r="K17" s="2" t="str">
        <f>"x1"</f>
        <v>x1</v>
      </c>
      <c r="L17" s="3">
        <f>$C$12</f>
        <v>1</v>
      </c>
      <c r="M17" s="2">
        <f>$F$12</f>
        <v>1</v>
      </c>
      <c r="N17" s="2">
        <f>$L$12</f>
        <v>0</v>
      </c>
      <c r="O17" s="2">
        <f>$I$12</f>
        <v>1</v>
      </c>
      <c r="P17" s="2">
        <f>$U$12</f>
        <v>0</v>
      </c>
      <c r="Q17" s="2" t="str">
        <f>$X$12</f>
        <v>-</v>
      </c>
      <c r="R17" s="2">
        <f>$R$12</f>
        <v>0</v>
      </c>
      <c r="S17" s="2">
        <f>$O$12</f>
        <v>0</v>
      </c>
      <c r="U17" s="2" t="str">
        <f>"x1"</f>
        <v>x1</v>
      </c>
      <c r="V17" s="3">
        <f>$B$12</f>
        <v>0</v>
      </c>
      <c r="W17" s="2">
        <f>$E$12</f>
        <v>0</v>
      </c>
      <c r="X17" s="2">
        <f>$K$12</f>
        <v>1</v>
      </c>
      <c r="Y17" s="2">
        <f>$H$12</f>
        <v>1</v>
      </c>
      <c r="Z17" s="2">
        <f>$T$12</f>
        <v>0</v>
      </c>
      <c r="AA17" s="2" t="str">
        <f>$W$12</f>
        <v>-</v>
      </c>
      <c r="AB17" s="2">
        <f>$Q$12</f>
        <v>1</v>
      </c>
      <c r="AC17" s="2">
        <f>$N$12</f>
        <v>0</v>
      </c>
    </row>
    <row r="18" spans="1:29" ht="18" x14ac:dyDescent="0.25">
      <c r="A18" s="2" t="str">
        <f>"x1x2"</f>
        <v>x1x2</v>
      </c>
      <c r="B18" s="2" t="str">
        <f t="shared" ref="B18:H18" si="0">"-"</f>
        <v>-</v>
      </c>
      <c r="C18" s="2" t="str">
        <f t="shared" si="0"/>
        <v>-</v>
      </c>
      <c r="D18" s="2" t="str">
        <f t="shared" si="0"/>
        <v>-</v>
      </c>
      <c r="E18" s="2" t="str">
        <f t="shared" si="0"/>
        <v>-</v>
      </c>
      <c r="F18" s="2" t="str">
        <f t="shared" si="0"/>
        <v>-</v>
      </c>
      <c r="G18" s="2" t="str">
        <f t="shared" si="0"/>
        <v>-</v>
      </c>
      <c r="H18" s="2" t="str">
        <f t="shared" si="0"/>
        <v>-</v>
      </c>
      <c r="I18" s="2" t="str">
        <f>"-"</f>
        <v>-</v>
      </c>
      <c r="J18" s="13"/>
      <c r="K18" s="2" t="str">
        <f>"x1x2"</f>
        <v>x1x2</v>
      </c>
      <c r="L18" s="2" t="str">
        <f t="shared" ref="L18:R18" si="1">"-"</f>
        <v>-</v>
      </c>
      <c r="M18" s="2" t="str">
        <f t="shared" si="1"/>
        <v>-</v>
      </c>
      <c r="N18" s="2" t="str">
        <f t="shared" si="1"/>
        <v>-</v>
      </c>
      <c r="O18" s="2" t="str">
        <f>"-"</f>
        <v>-</v>
      </c>
      <c r="P18" s="2" t="str">
        <f t="shared" si="1"/>
        <v>-</v>
      </c>
      <c r="Q18" s="2" t="str">
        <f t="shared" si="1"/>
        <v>-</v>
      </c>
      <c r="R18" s="2" t="str">
        <f t="shared" si="1"/>
        <v>-</v>
      </c>
      <c r="S18" s="2" t="str">
        <f>"-"</f>
        <v>-</v>
      </c>
      <c r="U18" s="2" t="str">
        <f>"x1x2"</f>
        <v>x1x2</v>
      </c>
      <c r="V18" s="2" t="str">
        <f t="shared" ref="V18:AB18" si="2">"-"</f>
        <v>-</v>
      </c>
      <c r="W18" s="2" t="str">
        <f t="shared" si="2"/>
        <v>-</v>
      </c>
      <c r="X18" s="2" t="str">
        <f t="shared" si="2"/>
        <v>-</v>
      </c>
      <c r="Y18" s="2" t="str">
        <f t="shared" si="2"/>
        <v>-</v>
      </c>
      <c r="Z18" s="2" t="str">
        <f t="shared" si="2"/>
        <v>-</v>
      </c>
      <c r="AA18" s="2" t="str">
        <f t="shared" si="2"/>
        <v>-</v>
      </c>
      <c r="AB18" s="2" t="str">
        <f t="shared" si="2"/>
        <v>-</v>
      </c>
      <c r="AC18" s="2" t="str">
        <f>"-"</f>
        <v>-</v>
      </c>
    </row>
    <row r="19" spans="1:29" ht="18" x14ac:dyDescent="0.25">
      <c r="A19" s="2" t="str">
        <f>"x2"</f>
        <v>x2</v>
      </c>
      <c r="B19" s="2">
        <f>$D$13</f>
        <v>0</v>
      </c>
      <c r="C19" s="2">
        <f>$G$13</f>
        <v>0</v>
      </c>
      <c r="D19" s="2" t="str">
        <f>$M$13</f>
        <v>-</v>
      </c>
      <c r="E19" s="2" t="str">
        <f>$J$13</f>
        <v>-</v>
      </c>
      <c r="F19" s="2" t="str">
        <f>$V$13</f>
        <v>-</v>
      </c>
      <c r="G19" s="2" t="str">
        <f>$Y$13</f>
        <v>-</v>
      </c>
      <c r="H19" s="2" t="str">
        <f>$S$13</f>
        <v>-</v>
      </c>
      <c r="I19" s="2">
        <f>$P$13</f>
        <v>1</v>
      </c>
      <c r="J19" s="13"/>
      <c r="K19" s="2" t="str">
        <f>"x2"</f>
        <v>x2</v>
      </c>
      <c r="L19" s="2">
        <f>$C$13</f>
        <v>0</v>
      </c>
      <c r="M19" s="2">
        <f>$F$13</f>
        <v>0</v>
      </c>
      <c r="N19" s="2" t="str">
        <f>$L$13</f>
        <v>-</v>
      </c>
      <c r="O19" s="2" t="str">
        <f>$I$13</f>
        <v>-</v>
      </c>
      <c r="P19" s="2" t="str">
        <f>$U$13</f>
        <v>-</v>
      </c>
      <c r="Q19" s="2" t="str">
        <f>$X$13</f>
        <v>-</v>
      </c>
      <c r="R19" s="2" t="str">
        <f>$R$13</f>
        <v>-</v>
      </c>
      <c r="S19" s="2">
        <f>$O$13</f>
        <v>0</v>
      </c>
      <c r="U19" s="2" t="str">
        <f>"x2"</f>
        <v>x2</v>
      </c>
      <c r="V19" s="2">
        <f>$B$13</f>
        <v>0</v>
      </c>
      <c r="W19" s="2">
        <f>$E$13</f>
        <v>0</v>
      </c>
      <c r="X19" s="2" t="str">
        <f>$K$13</f>
        <v>-</v>
      </c>
      <c r="Y19" s="2" t="str">
        <f>$H$13</f>
        <v>-</v>
      </c>
      <c r="Z19" s="2" t="str">
        <f>$T$13</f>
        <v>-</v>
      </c>
      <c r="AA19" s="2" t="str">
        <f>$W$13</f>
        <v>-</v>
      </c>
      <c r="AB19" s="2" t="str">
        <f>$Q$13</f>
        <v>-</v>
      </c>
      <c r="AC19" s="2">
        <f>$N$13</f>
        <v>0</v>
      </c>
    </row>
    <row r="20" spans="1:29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9" x14ac:dyDescent="0.25">
      <c r="A21" s="13" t="s">
        <v>67</v>
      </c>
      <c r="B21" s="29" t="s">
        <v>68</v>
      </c>
      <c r="E21" s="13"/>
      <c r="F21" s="13"/>
      <c r="G21" s="13"/>
      <c r="H21" s="13"/>
      <c r="I21" s="13"/>
    </row>
    <row r="22" spans="1:29" x14ac:dyDescent="0.25">
      <c r="A22" s="13" t="s">
        <v>69</v>
      </c>
      <c r="B22" s="13"/>
      <c r="C22" s="13"/>
      <c r="D22" s="13"/>
      <c r="E22" s="13"/>
      <c r="F22" s="13"/>
      <c r="G22" s="13"/>
      <c r="H22" s="13"/>
      <c r="I22" s="13"/>
    </row>
    <row r="23" spans="1:29" x14ac:dyDescent="0.25">
      <c r="A23" s="13" t="s">
        <v>70</v>
      </c>
      <c r="B23" s="13"/>
      <c r="C23" s="13"/>
      <c r="D23" s="13"/>
      <c r="E23" s="13"/>
      <c r="F23" s="13"/>
      <c r="G23" s="13"/>
      <c r="H23" s="13"/>
      <c r="I23" s="13"/>
    </row>
    <row r="24" spans="1:2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spans="1:29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2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2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2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29" x14ac:dyDescent="0.25">
      <c r="A29" s="13"/>
      <c r="B29" s="13"/>
      <c r="C29" s="13"/>
      <c r="D29" s="13"/>
      <c r="E29" s="13"/>
      <c r="F29" s="13"/>
      <c r="G29" s="13"/>
      <c r="H29" s="13"/>
      <c r="I29" s="13"/>
    </row>
    <row r="30" spans="1:2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29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2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47" spans="1:1" x14ac:dyDescent="0.25">
      <c r="A47" s="8" t="s">
        <v>15</v>
      </c>
    </row>
    <row r="48" spans="1:1" x14ac:dyDescent="0.25">
      <c r="A48" s="8" t="s">
        <v>11</v>
      </c>
    </row>
    <row r="49" spans="1:24" x14ac:dyDescent="0.25">
      <c r="A49" s="8" t="s">
        <v>12</v>
      </c>
    </row>
    <row r="50" spans="1:24" x14ac:dyDescent="0.25">
      <c r="A50" s="8" t="s">
        <v>13</v>
      </c>
    </row>
    <row r="51" spans="1:24" x14ac:dyDescent="0.25">
      <c r="A51" s="8" t="s">
        <v>14</v>
      </c>
    </row>
    <row r="52" spans="1:24" x14ac:dyDescent="0.25">
      <c r="A52" s="8" t="s">
        <v>29</v>
      </c>
      <c r="G52" s="8" t="s">
        <v>28</v>
      </c>
    </row>
    <row r="53" spans="1:24" ht="18" x14ac:dyDescent="0.25">
      <c r="F53" s="16"/>
      <c r="G53" s="16"/>
      <c r="H53" s="16"/>
      <c r="I53" s="17" t="s">
        <v>19</v>
      </c>
      <c r="J53" s="18" t="s">
        <v>20</v>
      </c>
      <c r="K53" s="18" t="s">
        <v>21</v>
      </c>
    </row>
    <row r="54" spans="1:24" ht="18" x14ac:dyDescent="0.25">
      <c r="A54" s="16"/>
      <c r="B54" s="16"/>
      <c r="C54" s="17" t="s">
        <v>19</v>
      </c>
      <c r="D54" s="18" t="s">
        <v>20</v>
      </c>
      <c r="E54" s="18" t="s">
        <v>21</v>
      </c>
      <c r="F54" s="16"/>
      <c r="G54" s="19"/>
      <c r="H54" s="20" t="str">
        <f>$C$8</f>
        <v>0</v>
      </c>
      <c r="I54" s="21" t="str">
        <f>$F$8</f>
        <v>0</v>
      </c>
      <c r="J54" s="20" t="str">
        <f>$L$8</f>
        <v>1</v>
      </c>
      <c r="K54" s="20" t="str">
        <f>$I$8</f>
        <v>0</v>
      </c>
    </row>
    <row r="55" spans="1:24" ht="18" x14ac:dyDescent="0.25">
      <c r="A55" s="19"/>
      <c r="B55" s="20" t="str">
        <f>$D$8</f>
        <v>0</v>
      </c>
      <c r="C55" s="21" t="str">
        <f>$G$8</f>
        <v>1</v>
      </c>
      <c r="D55" s="20" t="str">
        <f>$M$8</f>
        <v>0</v>
      </c>
      <c r="E55" s="20" t="str">
        <f>$J$8</f>
        <v>0</v>
      </c>
      <c r="F55" s="16"/>
      <c r="G55" s="18" t="s">
        <v>18</v>
      </c>
      <c r="H55" s="20" t="str">
        <f>$O$8</f>
        <v>0</v>
      </c>
      <c r="I55" s="22" t="str">
        <f>$R$8</f>
        <v>0</v>
      </c>
      <c r="J55" s="20" t="str">
        <f>$X$8</f>
        <v>-</v>
      </c>
      <c r="K55" s="20" t="str">
        <f>$U$8</f>
        <v>0</v>
      </c>
    </row>
    <row r="56" spans="1:24" ht="18" x14ac:dyDescent="0.25">
      <c r="A56" s="20" t="s">
        <v>18</v>
      </c>
      <c r="B56" s="20" t="str">
        <f>$P$8</f>
        <v>1</v>
      </c>
      <c r="C56" s="20" t="str">
        <f>$S$8</f>
        <v>0</v>
      </c>
      <c r="D56" s="20" t="str">
        <f>$Y$8</f>
        <v>-</v>
      </c>
      <c r="E56" s="20" t="str">
        <f>$V$8</f>
        <v>0</v>
      </c>
    </row>
    <row r="57" spans="1:24" ht="18" x14ac:dyDescent="0.25">
      <c r="A57" s="20" t="s">
        <v>72</v>
      </c>
      <c r="B57" s="20"/>
      <c r="C57" s="20"/>
      <c r="D57" s="20"/>
      <c r="E57" s="20"/>
    </row>
    <row r="58" spans="1:24" ht="18" x14ac:dyDescent="0.25">
      <c r="A58" s="20" t="s">
        <v>31</v>
      </c>
      <c r="B58" s="20"/>
      <c r="C58" s="20"/>
      <c r="D58" s="20"/>
      <c r="E58" s="20"/>
    </row>
    <row r="62" spans="1:24" ht="18" x14ac:dyDescent="0.25">
      <c r="A62" s="18" t="s">
        <v>22</v>
      </c>
      <c r="B62" s="41"/>
      <c r="C62" s="18">
        <v>0</v>
      </c>
      <c r="D62" s="18">
        <v>0</v>
      </c>
      <c r="E62" s="18">
        <v>0</v>
      </c>
      <c r="F62" s="18">
        <v>0</v>
      </c>
      <c r="G62" s="18">
        <v>1</v>
      </c>
      <c r="H62" s="18">
        <v>1</v>
      </c>
      <c r="I62" s="18">
        <v>1</v>
      </c>
      <c r="J62" s="18">
        <v>0</v>
      </c>
      <c r="K62" s="18">
        <v>0</v>
      </c>
      <c r="L62" s="18" t="s">
        <v>24</v>
      </c>
      <c r="M62" s="42">
        <v>1</v>
      </c>
      <c r="N62" s="42">
        <v>0</v>
      </c>
      <c r="O62" s="42">
        <v>1</v>
      </c>
      <c r="P62" s="18" t="s">
        <v>24</v>
      </c>
      <c r="Q62" s="42">
        <v>1</v>
      </c>
      <c r="R62" s="42">
        <v>1</v>
      </c>
      <c r="S62" s="42">
        <v>0</v>
      </c>
      <c r="T62" s="18" t="s">
        <v>24</v>
      </c>
      <c r="U62" s="18">
        <v>1</v>
      </c>
      <c r="V62" s="18">
        <v>1</v>
      </c>
      <c r="W62" s="18">
        <v>1</v>
      </c>
      <c r="X62" s="18" t="s">
        <v>24</v>
      </c>
    </row>
    <row r="63" spans="1:24" ht="18" x14ac:dyDescent="0.25">
      <c r="A63" s="18" t="s">
        <v>23</v>
      </c>
      <c r="B63" s="18" t="s">
        <v>30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 spans="1:24" ht="18" x14ac:dyDescent="0.25">
      <c r="A64" s="18" t="s">
        <v>25</v>
      </c>
      <c r="B64" s="41"/>
      <c r="C64" s="18">
        <v>0</v>
      </c>
      <c r="D64" s="18">
        <v>1</v>
      </c>
      <c r="E64" s="18">
        <v>1</v>
      </c>
      <c r="F64" s="18">
        <v>0</v>
      </c>
      <c r="G64" s="18">
        <v>0</v>
      </c>
      <c r="H64" s="18">
        <v>1</v>
      </c>
      <c r="I64" s="18" t="s">
        <v>16</v>
      </c>
      <c r="J64" s="18">
        <v>1</v>
      </c>
      <c r="K64" s="18">
        <v>1</v>
      </c>
      <c r="L64" s="18">
        <v>0</v>
      </c>
      <c r="M64" s="42" t="s">
        <v>16</v>
      </c>
      <c r="N64" s="42">
        <v>1</v>
      </c>
      <c r="O64" s="42">
        <v>0</v>
      </c>
      <c r="P64" s="18">
        <v>0</v>
      </c>
      <c r="Q64" s="42" t="s">
        <v>16</v>
      </c>
      <c r="R64" s="42">
        <v>0</v>
      </c>
      <c r="S64" s="42">
        <v>1</v>
      </c>
      <c r="T64" s="18">
        <v>0</v>
      </c>
      <c r="U64" s="18" t="s">
        <v>16</v>
      </c>
      <c r="V64" s="18">
        <v>0</v>
      </c>
      <c r="W64" s="18">
        <v>1</v>
      </c>
      <c r="X64" s="18">
        <v>1</v>
      </c>
    </row>
    <row r="67" spans="1:24" ht="18" x14ac:dyDescent="0.25">
      <c r="A67" s="18" t="s">
        <v>22</v>
      </c>
      <c r="B67" s="41"/>
      <c r="C67" s="20" t="s">
        <v>3</v>
      </c>
      <c r="D67" s="20" t="s">
        <v>3</v>
      </c>
      <c r="E67" s="20" t="s">
        <v>3</v>
      </c>
      <c r="F67" s="20" t="s">
        <v>3</v>
      </c>
      <c r="G67" s="20" t="s">
        <v>4</v>
      </c>
      <c r="H67" s="20" t="s">
        <v>4</v>
      </c>
      <c r="I67" s="20" t="s">
        <v>4</v>
      </c>
      <c r="J67" s="20" t="s">
        <v>3</v>
      </c>
      <c r="K67" s="20" t="s">
        <v>3</v>
      </c>
      <c r="L67" s="20" t="s">
        <v>17</v>
      </c>
      <c r="M67" s="43" t="s">
        <v>4</v>
      </c>
      <c r="N67" s="43" t="s">
        <v>3</v>
      </c>
      <c r="O67" s="43" t="s">
        <v>4</v>
      </c>
      <c r="P67" s="20" t="s">
        <v>17</v>
      </c>
      <c r="Q67" s="43" t="s">
        <v>4</v>
      </c>
      <c r="R67" s="43" t="s">
        <v>4</v>
      </c>
      <c r="S67" s="43" t="s">
        <v>3</v>
      </c>
      <c r="T67" s="20" t="s">
        <v>17</v>
      </c>
      <c r="U67" s="20" t="s">
        <v>4</v>
      </c>
      <c r="V67" s="20" t="s">
        <v>4</v>
      </c>
      <c r="W67" s="20" t="s">
        <v>4</v>
      </c>
      <c r="X67" s="20" t="s">
        <v>17</v>
      </c>
    </row>
    <row r="68" spans="1:24" ht="18" x14ac:dyDescent="0.25">
      <c r="A68" s="18" t="s">
        <v>23</v>
      </c>
      <c r="B68" s="18" t="s">
        <v>30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18" x14ac:dyDescent="0.25">
      <c r="A69" s="18" t="s">
        <v>25</v>
      </c>
      <c r="B69" s="41"/>
      <c r="C69" s="20" t="s">
        <v>3</v>
      </c>
      <c r="D69" s="20" t="s">
        <v>4</v>
      </c>
      <c r="E69" s="20" t="s">
        <v>4</v>
      </c>
      <c r="F69" s="20" t="s">
        <v>3</v>
      </c>
      <c r="G69" s="20" t="s">
        <v>3</v>
      </c>
      <c r="H69" s="20" t="s">
        <v>4</v>
      </c>
      <c r="I69" s="20" t="s">
        <v>17</v>
      </c>
      <c r="J69" s="20" t="s">
        <v>4</v>
      </c>
      <c r="K69" s="20" t="s">
        <v>4</v>
      </c>
      <c r="L69" s="20" t="s">
        <v>3</v>
      </c>
      <c r="M69" s="43" t="s">
        <v>17</v>
      </c>
      <c r="N69" s="43" t="s">
        <v>4</v>
      </c>
      <c r="O69" s="43" t="s">
        <v>3</v>
      </c>
      <c r="P69" s="20" t="s">
        <v>3</v>
      </c>
      <c r="Q69" s="43" t="s">
        <v>17</v>
      </c>
      <c r="R69" s="43" t="s">
        <v>3</v>
      </c>
      <c r="S69" s="43" t="s">
        <v>4</v>
      </c>
      <c r="T69" s="20" t="s">
        <v>3</v>
      </c>
      <c r="U69" s="20" t="s">
        <v>17</v>
      </c>
      <c r="V69" s="20" t="s">
        <v>3</v>
      </c>
      <c r="W69" s="20" t="s">
        <v>4</v>
      </c>
      <c r="X69" s="20" t="s">
        <v>4</v>
      </c>
    </row>
  </sheetData>
  <mergeCells count="9">
    <mergeCell ref="A8:A9"/>
    <mergeCell ref="T9:V9"/>
    <mergeCell ref="W9:Y9"/>
    <mergeCell ref="B9:D9"/>
    <mergeCell ref="E9:G9"/>
    <mergeCell ref="H9:J9"/>
    <mergeCell ref="K9:M9"/>
    <mergeCell ref="N9:P9"/>
    <mergeCell ref="Q9:S9"/>
  </mergeCells>
  <hyperlinks>
    <hyperlink ref="B21" r:id="rId1" xr:uid="{761451DC-E012-4085-B13E-FAAF3B119372}"/>
  </hyperlinks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BAD1-90FC-45D4-85C3-FA5A943E5252}">
  <dimension ref="A1:H28"/>
  <sheetViews>
    <sheetView workbookViewId="0">
      <selection activeCell="A25" sqref="A25:H28"/>
    </sheetView>
  </sheetViews>
  <sheetFormatPr defaultRowHeight="15" x14ac:dyDescent="0.25"/>
  <sheetData>
    <row r="1" spans="1:8" x14ac:dyDescent="0.25">
      <c r="A1" s="36" t="str">
        <f>""</f>
        <v/>
      </c>
      <c r="B1" s="36" t="str">
        <f>"a0"</f>
        <v>a0</v>
      </c>
      <c r="C1" s="36" t="str">
        <f>"a1"</f>
        <v>a1</v>
      </c>
      <c r="D1" s="36" t="str">
        <f>"a2"</f>
        <v>a2</v>
      </c>
      <c r="E1" s="36" t="str">
        <f>"a3"</f>
        <v>a3</v>
      </c>
      <c r="F1" s="36" t="str">
        <f>"a4"</f>
        <v>a4</v>
      </c>
      <c r="G1" s="36" t="str">
        <f>"a5"</f>
        <v>a5</v>
      </c>
      <c r="H1" s="36" t="str">
        <f>"a6"</f>
        <v>a6</v>
      </c>
    </row>
    <row r="2" spans="1:8" x14ac:dyDescent="0.25">
      <c r="A2" s="36" t="str">
        <f>"z1"</f>
        <v>z1</v>
      </c>
      <c r="B2" s="36" t="str">
        <f>"a2"</f>
        <v>a2</v>
      </c>
      <c r="C2" s="36" t="str">
        <f>"a2"</f>
        <v>a2</v>
      </c>
      <c r="D2" s="36" t="str">
        <f>"a4"</f>
        <v>a4</v>
      </c>
      <c r="E2" s="36" t="str">
        <f>"a4"</f>
        <v>a4</v>
      </c>
      <c r="F2" s="36" t="str">
        <f>"a1"</f>
        <v>a1</v>
      </c>
      <c r="G2" s="36" t="str">
        <f>"а1"</f>
        <v>а1</v>
      </c>
      <c r="H2" s="36" t="str">
        <f>""</f>
        <v/>
      </c>
    </row>
    <row r="3" spans="1:8" x14ac:dyDescent="0.25">
      <c r="A3" s="36" t="str">
        <f>"z2"</f>
        <v>z2</v>
      </c>
      <c r="B3" s="36" t="str">
        <f>"a3"</f>
        <v>a3</v>
      </c>
      <c r="C3" s="36" t="str">
        <f>"a3"</f>
        <v>a3</v>
      </c>
      <c r="D3" s="36" t="str">
        <f>"a6"</f>
        <v>a6</v>
      </c>
      <c r="E3" s="36" t="str">
        <f>"a5"</f>
        <v>a5</v>
      </c>
      <c r="F3" s="36" t="str">
        <f>"а0"</f>
        <v>а0</v>
      </c>
      <c r="G3" s="36" t="str">
        <f>"а4"</f>
        <v>а4</v>
      </c>
      <c r="H3" s="36" t="str">
        <f>"а1"</f>
        <v>а1</v>
      </c>
    </row>
    <row r="4" spans="1:8" x14ac:dyDescent="0.25">
      <c r="A4" s="36" t="str">
        <f>"z3"</f>
        <v>z3</v>
      </c>
      <c r="B4" s="36" t="str">
        <f>"a0"</f>
        <v>a0</v>
      </c>
      <c r="C4" s="36" t="str">
        <f>"a0"</f>
        <v>a0</v>
      </c>
      <c r="D4" s="36" t="str">
        <f>""</f>
        <v/>
      </c>
      <c r="E4" s="36" t="str">
        <f>""</f>
        <v/>
      </c>
      <c r="F4" s="36" t="str">
        <f>"а1"</f>
        <v>а1</v>
      </c>
      <c r="G4" s="36" t="str">
        <f>""</f>
        <v/>
      </c>
      <c r="H4" s="36" t="str">
        <f>""</f>
        <v/>
      </c>
    </row>
    <row r="6" spans="1:8" x14ac:dyDescent="0.25">
      <c r="A6" s="36" t="str">
        <f>""</f>
        <v/>
      </c>
      <c r="B6" s="36" t="str">
        <f>"x2"</f>
        <v>x2</v>
      </c>
      <c r="C6" s="36" t="str">
        <f>"x1"</f>
        <v>x1</v>
      </c>
    </row>
    <row r="7" spans="1:8" x14ac:dyDescent="0.25">
      <c r="A7" s="36" t="str">
        <f>"z1"</f>
        <v>z1</v>
      </c>
      <c r="B7" s="36" t="str">
        <f>"0"</f>
        <v>0</v>
      </c>
      <c r="C7" s="36" t="str">
        <f>"0"</f>
        <v>0</v>
      </c>
    </row>
    <row r="8" spans="1:8" x14ac:dyDescent="0.25">
      <c r="A8" s="36" t="str">
        <f>"z2"</f>
        <v>z2</v>
      </c>
      <c r="B8" s="36" t="str">
        <f>"0"</f>
        <v>0</v>
      </c>
      <c r="C8" s="36" t="str">
        <f>"1"</f>
        <v>1</v>
      </c>
    </row>
    <row r="9" spans="1:8" x14ac:dyDescent="0.25">
      <c r="A9" s="36" t="str">
        <f>"z3"</f>
        <v>z3</v>
      </c>
      <c r="B9" s="36" t="str">
        <f>"1"</f>
        <v>1</v>
      </c>
      <c r="C9" s="36" t="str">
        <f>"0"</f>
        <v>0</v>
      </c>
    </row>
    <row r="11" spans="1:8" x14ac:dyDescent="0.25">
      <c r="A11" s="36" t="str">
        <f>""</f>
        <v/>
      </c>
      <c r="B11" s="36" t="str">
        <f>"y2"</f>
        <v>y2</v>
      </c>
      <c r="C11" s="36" t="str">
        <f>"y1"</f>
        <v>y1</v>
      </c>
    </row>
    <row r="12" spans="1:8" x14ac:dyDescent="0.25">
      <c r="A12" s="36" t="str">
        <f>"w1"</f>
        <v>w1</v>
      </c>
      <c r="B12" s="36" t="str">
        <f>"0"</f>
        <v>0</v>
      </c>
      <c r="C12" s="36" t="str">
        <f>"0"</f>
        <v>0</v>
      </c>
    </row>
    <row r="13" spans="1:8" x14ac:dyDescent="0.25">
      <c r="A13" s="36" t="str">
        <f>"w2"</f>
        <v>w2</v>
      </c>
      <c r="B13" s="36" t="str">
        <f>"0"</f>
        <v>0</v>
      </c>
      <c r="C13" s="36" t="str">
        <f>"1"</f>
        <v>1</v>
      </c>
    </row>
    <row r="14" spans="1:8" x14ac:dyDescent="0.25">
      <c r="A14" s="36" t="str">
        <f>"w3"</f>
        <v>w3</v>
      </c>
      <c r="B14" s="36" t="str">
        <f>"1"</f>
        <v>1</v>
      </c>
      <c r="C14" s="36" t="str">
        <f>"0"</f>
        <v>0</v>
      </c>
    </row>
    <row r="16" spans="1:8" x14ac:dyDescent="0.25">
      <c r="A16" s="36" t="str">
        <f>""</f>
        <v/>
      </c>
      <c r="B16" s="36" t="str">
        <f>"Q3"</f>
        <v>Q3</v>
      </c>
      <c r="C16" s="36" t="str">
        <f>"Q2"</f>
        <v>Q2</v>
      </c>
      <c r="D16" s="36" t="str">
        <f>"Q1"</f>
        <v>Q1</v>
      </c>
    </row>
    <row r="17" spans="1:8" x14ac:dyDescent="0.25">
      <c r="A17" s="36" t="str">
        <f>"a0"</f>
        <v>a0</v>
      </c>
      <c r="B17" s="36" t="str">
        <f>"0"</f>
        <v>0</v>
      </c>
      <c r="C17" s="36" t="str">
        <f>"0"</f>
        <v>0</v>
      </c>
      <c r="D17" s="36" t="str">
        <f>"0"</f>
        <v>0</v>
      </c>
    </row>
    <row r="18" spans="1:8" x14ac:dyDescent="0.25">
      <c r="A18" s="36" t="str">
        <f>"a1"</f>
        <v>a1</v>
      </c>
      <c r="B18" s="36" t="str">
        <f>"0"</f>
        <v>0</v>
      </c>
      <c r="C18" s="36" t="str">
        <f>"0"</f>
        <v>0</v>
      </c>
      <c r="D18" s="36" t="str">
        <f>"1"</f>
        <v>1</v>
      </c>
    </row>
    <row r="19" spans="1:8" x14ac:dyDescent="0.25">
      <c r="A19" s="36" t="str">
        <f>"a2"</f>
        <v>a2</v>
      </c>
      <c r="B19" s="36" t="str">
        <f>"0"</f>
        <v>0</v>
      </c>
      <c r="C19" s="36" t="str">
        <f>"1"</f>
        <v>1</v>
      </c>
      <c r="D19" s="36" t="str">
        <f>"0"</f>
        <v>0</v>
      </c>
    </row>
    <row r="20" spans="1:8" x14ac:dyDescent="0.25">
      <c r="A20" s="36" t="str">
        <f>"a3"</f>
        <v>a3</v>
      </c>
      <c r="B20" s="36" t="str">
        <f>"0"</f>
        <v>0</v>
      </c>
      <c r="C20" s="36" t="str">
        <f>"1"</f>
        <v>1</v>
      </c>
      <c r="D20" s="36" t="str">
        <f>"1"</f>
        <v>1</v>
      </c>
    </row>
    <row r="21" spans="1:8" x14ac:dyDescent="0.25">
      <c r="A21" s="36" t="str">
        <f>"a4"</f>
        <v>a4</v>
      </c>
      <c r="B21" s="36" t="str">
        <f>"1"</f>
        <v>1</v>
      </c>
      <c r="C21" s="36" t="str">
        <f>"0"</f>
        <v>0</v>
      </c>
      <c r="D21" s="36" t="str">
        <f>"0"</f>
        <v>0</v>
      </c>
    </row>
    <row r="22" spans="1:8" x14ac:dyDescent="0.25">
      <c r="A22" s="36" t="str">
        <f>"a5"</f>
        <v>a5</v>
      </c>
      <c r="B22" s="36" t="str">
        <f>"1"</f>
        <v>1</v>
      </c>
      <c r="C22" s="36" t="str">
        <f>"0"</f>
        <v>0</v>
      </c>
      <c r="D22" s="36" t="str">
        <f>"1"</f>
        <v>1</v>
      </c>
    </row>
    <row r="23" spans="1:8" x14ac:dyDescent="0.25">
      <c r="A23" s="36" t="str">
        <f>"a6"</f>
        <v>a6</v>
      </c>
      <c r="B23" s="36" t="str">
        <f>"1"</f>
        <v>1</v>
      </c>
      <c r="C23" s="36" t="str">
        <f>"1"</f>
        <v>1</v>
      </c>
      <c r="D23" s="36" t="str">
        <f>"0"</f>
        <v>0</v>
      </c>
    </row>
    <row r="25" spans="1:8" x14ac:dyDescent="0.25">
      <c r="A25" s="36" t="str">
        <f>"x2x1\Q3Q2Q1"</f>
        <v>x2x1\Q3Q2Q1</v>
      </c>
      <c r="B25" s="36" t="str">
        <f>"000"</f>
        <v>000</v>
      </c>
      <c r="C25" s="36" t="str">
        <f>"001"</f>
        <v>001</v>
      </c>
      <c r="D25" s="36" t="str">
        <f>"010"</f>
        <v>010</v>
      </c>
      <c r="E25" s="36" t="str">
        <f>"011"</f>
        <v>011</v>
      </c>
      <c r="F25" s="36" t="str">
        <f>"100"</f>
        <v>100</v>
      </c>
      <c r="G25" s="36" t="str">
        <f>"101"</f>
        <v>101</v>
      </c>
      <c r="H25" s="36" t="str">
        <f>"100"</f>
        <v>100</v>
      </c>
    </row>
    <row r="26" spans="1:8" x14ac:dyDescent="0.25">
      <c r="A26" s="36" t="str">
        <f>"00"</f>
        <v>00</v>
      </c>
      <c r="B26" s="36" t="str">
        <f>"010"</f>
        <v>010</v>
      </c>
      <c r="C26" s="36" t="str">
        <f>"010"</f>
        <v>010</v>
      </c>
      <c r="D26" s="36" t="str">
        <f>"100"</f>
        <v>100</v>
      </c>
      <c r="E26" s="36" t="str">
        <f>"100"</f>
        <v>100</v>
      </c>
      <c r="F26" s="36" t="str">
        <f>"001"</f>
        <v>001</v>
      </c>
      <c r="G26" s="36" t="str">
        <f>"001"</f>
        <v>001</v>
      </c>
      <c r="H26" s="36" t="str">
        <f>""</f>
        <v/>
      </c>
    </row>
    <row r="27" spans="1:8" x14ac:dyDescent="0.25">
      <c r="A27" s="36" t="str">
        <f>"01"</f>
        <v>01</v>
      </c>
      <c r="B27" s="36" t="str">
        <f>"011"</f>
        <v>011</v>
      </c>
      <c r="C27" s="36" t="str">
        <f>"011"</f>
        <v>011</v>
      </c>
      <c r="D27" s="36" t="str">
        <f>"110"</f>
        <v>110</v>
      </c>
      <c r="E27" s="36" t="str">
        <f>"101"</f>
        <v>101</v>
      </c>
      <c r="F27" s="36" t="str">
        <f>"000"</f>
        <v>000</v>
      </c>
      <c r="G27" s="36" t="str">
        <f>"100"</f>
        <v>100</v>
      </c>
      <c r="H27" s="36" t="str">
        <f>"001"</f>
        <v>001</v>
      </c>
    </row>
    <row r="28" spans="1:8" x14ac:dyDescent="0.25">
      <c r="A28" s="36" t="str">
        <f>"10"</f>
        <v>10</v>
      </c>
      <c r="B28" s="36" t="str">
        <f>"000"</f>
        <v>000</v>
      </c>
      <c r="C28" s="36" t="str">
        <f>"000"</f>
        <v>000</v>
      </c>
      <c r="D28" s="36" t="str">
        <f>""</f>
        <v/>
      </c>
      <c r="E28" s="36" t="str">
        <f>""</f>
        <v/>
      </c>
      <c r="F28" s="36" t="str">
        <f>"001"</f>
        <v>001</v>
      </c>
      <c r="G28" s="36" t="str">
        <f>""</f>
        <v/>
      </c>
      <c r="H28" s="36" t="str">
        <f>""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337A-E953-4DF8-9FC0-9A0B6E0A9B09}">
  <dimension ref="B1:AL54"/>
  <sheetViews>
    <sheetView topLeftCell="A20" zoomScale="70" zoomScaleNormal="70" workbookViewId="0">
      <selection activeCell="T54" sqref="B53:V54"/>
    </sheetView>
  </sheetViews>
  <sheetFormatPr defaultRowHeight="15" x14ac:dyDescent="0.25"/>
  <cols>
    <col min="1" max="1" width="9.140625" style="26"/>
    <col min="2" max="22" width="2.7109375" style="26" customWidth="1"/>
    <col min="23" max="16384" width="9.140625" style="26"/>
  </cols>
  <sheetData>
    <row r="1" spans="2:13" ht="18" x14ac:dyDescent="0.25">
      <c r="B1" s="24"/>
      <c r="C1" s="24" t="s">
        <v>26</v>
      </c>
      <c r="D1" s="24" t="s">
        <v>27</v>
      </c>
      <c r="E1" s="25"/>
      <c r="F1" s="25"/>
      <c r="G1" s="24"/>
      <c r="H1" s="24" t="s">
        <v>28</v>
      </c>
      <c r="I1" s="24" t="s">
        <v>29</v>
      </c>
    </row>
    <row r="2" spans="2:13" ht="18" x14ac:dyDescent="0.25">
      <c r="B2" s="24">
        <v>0</v>
      </c>
      <c r="C2" s="24">
        <v>0</v>
      </c>
      <c r="D2" s="24">
        <v>0</v>
      </c>
      <c r="G2" s="24">
        <v>0</v>
      </c>
      <c r="H2" s="24">
        <v>0</v>
      </c>
      <c r="I2" s="24">
        <v>0</v>
      </c>
    </row>
    <row r="3" spans="2:13" ht="18" x14ac:dyDescent="0.25">
      <c r="B3" s="24">
        <v>1</v>
      </c>
      <c r="C3" s="24">
        <v>0</v>
      </c>
      <c r="D3" s="24">
        <v>1</v>
      </c>
      <c r="G3" s="24">
        <v>1</v>
      </c>
      <c r="H3" s="24">
        <v>0</v>
      </c>
      <c r="I3" s="24">
        <v>1</v>
      </c>
    </row>
    <row r="4" spans="2:13" ht="18" x14ac:dyDescent="0.25">
      <c r="B4" s="24" t="s">
        <v>24</v>
      </c>
      <c r="C4" s="24">
        <v>1</v>
      </c>
      <c r="D4" s="24">
        <v>0</v>
      </c>
      <c r="G4" s="24" t="s">
        <v>16</v>
      </c>
      <c r="H4" s="24">
        <v>1</v>
      </c>
      <c r="I4" s="24">
        <v>0</v>
      </c>
    </row>
    <row r="6" spans="2:13" ht="18" x14ac:dyDescent="0.25">
      <c r="B6" s="24"/>
      <c r="C6" s="24" t="s">
        <v>31</v>
      </c>
      <c r="D6" s="24" t="s">
        <v>18</v>
      </c>
      <c r="E6" s="24" t="s">
        <v>21</v>
      </c>
      <c r="F6" s="24" t="s">
        <v>19</v>
      </c>
    </row>
    <row r="7" spans="2:13" ht="18" x14ac:dyDescent="0.25">
      <c r="B7" s="24" t="s">
        <v>30</v>
      </c>
      <c r="C7" s="24">
        <v>0</v>
      </c>
      <c r="D7" s="24">
        <v>0</v>
      </c>
      <c r="E7" s="24">
        <v>0</v>
      </c>
      <c r="F7" s="24">
        <v>0</v>
      </c>
      <c r="K7" s="24" t="s">
        <v>58</v>
      </c>
      <c r="L7" s="24">
        <v>0</v>
      </c>
      <c r="M7" s="24">
        <v>1</v>
      </c>
    </row>
    <row r="8" spans="2:13" ht="18" x14ac:dyDescent="0.25">
      <c r="B8" s="24" t="s">
        <v>32</v>
      </c>
      <c r="C8" s="24">
        <v>0</v>
      </c>
      <c r="D8" s="24">
        <v>0</v>
      </c>
      <c r="E8" s="24">
        <v>0</v>
      </c>
      <c r="F8" s="24">
        <v>1</v>
      </c>
      <c r="K8" s="24">
        <v>0</v>
      </c>
      <c r="L8" s="24">
        <v>0</v>
      </c>
      <c r="M8" s="24">
        <v>1</v>
      </c>
    </row>
    <row r="9" spans="2:13" ht="18" x14ac:dyDescent="0.25">
      <c r="B9" s="24" t="s">
        <v>33</v>
      </c>
      <c r="C9" s="24">
        <v>0</v>
      </c>
      <c r="D9" s="24">
        <v>0</v>
      </c>
      <c r="E9" s="24">
        <v>1</v>
      </c>
      <c r="F9" s="24">
        <v>0</v>
      </c>
      <c r="K9" s="24">
        <v>1</v>
      </c>
      <c r="L9" s="24">
        <v>1</v>
      </c>
      <c r="M9" s="24">
        <v>0</v>
      </c>
    </row>
    <row r="10" spans="2:13" ht="18" x14ac:dyDescent="0.25">
      <c r="B10" s="24" t="s">
        <v>34</v>
      </c>
      <c r="C10" s="24">
        <v>0</v>
      </c>
      <c r="D10" s="24">
        <v>0</v>
      </c>
      <c r="E10" s="24">
        <v>1</v>
      </c>
      <c r="F10" s="24">
        <v>1</v>
      </c>
    </row>
    <row r="11" spans="2:13" ht="18" x14ac:dyDescent="0.25">
      <c r="B11" s="24" t="s">
        <v>35</v>
      </c>
      <c r="C11" s="24">
        <v>0</v>
      </c>
      <c r="D11" s="24">
        <v>1</v>
      </c>
      <c r="E11" s="24">
        <v>0</v>
      </c>
      <c r="F11" s="24">
        <v>0</v>
      </c>
    </row>
    <row r="12" spans="2:13" ht="18" x14ac:dyDescent="0.25">
      <c r="B12" s="24" t="s">
        <v>36</v>
      </c>
      <c r="C12" s="24">
        <v>0</v>
      </c>
      <c r="D12" s="24">
        <v>1</v>
      </c>
      <c r="E12" s="24">
        <v>0</v>
      </c>
      <c r="F12" s="24">
        <v>1</v>
      </c>
    </row>
    <row r="13" spans="2:13" ht="18" x14ac:dyDescent="0.25">
      <c r="B13" s="24" t="s">
        <v>37</v>
      </c>
      <c r="C13" s="24">
        <v>0</v>
      </c>
      <c r="D13" s="24">
        <v>1</v>
      </c>
      <c r="E13" s="24">
        <v>1</v>
      </c>
      <c r="F13" s="24">
        <v>0</v>
      </c>
    </row>
    <row r="14" spans="2:13" ht="18" x14ac:dyDescent="0.25">
      <c r="B14" s="24" t="s">
        <v>38</v>
      </c>
      <c r="C14" s="24">
        <v>0</v>
      </c>
      <c r="D14" s="24">
        <v>1</v>
      </c>
      <c r="E14" s="24">
        <v>1</v>
      </c>
      <c r="F14" s="24">
        <v>1</v>
      </c>
    </row>
    <row r="15" spans="2:13" ht="18" x14ac:dyDescent="0.25">
      <c r="B15" s="24" t="s">
        <v>39</v>
      </c>
      <c r="C15" s="24">
        <v>1</v>
      </c>
      <c r="D15" s="24">
        <v>0</v>
      </c>
      <c r="E15" s="24">
        <v>0</v>
      </c>
      <c r="F15" s="24">
        <v>0</v>
      </c>
    </row>
    <row r="17" spans="2:38" ht="18" x14ac:dyDescent="0.25">
      <c r="B17" s="24"/>
      <c r="C17" s="24" t="s">
        <v>30</v>
      </c>
      <c r="D17" s="24" t="s">
        <v>32</v>
      </c>
      <c r="E17" s="24" t="s">
        <v>33</v>
      </c>
      <c r="F17" s="24" t="s">
        <v>34</v>
      </c>
      <c r="G17" s="24" t="s">
        <v>35</v>
      </c>
      <c r="H17" s="24" t="s">
        <v>36</v>
      </c>
      <c r="I17" s="24" t="s">
        <v>37</v>
      </c>
      <c r="J17" s="24" t="s">
        <v>38</v>
      </c>
      <c r="K17" s="24" t="s">
        <v>39</v>
      </c>
    </row>
    <row r="18" spans="2:38" ht="18" x14ac:dyDescent="0.25">
      <c r="B18" s="24" t="s">
        <v>40</v>
      </c>
      <c r="C18" s="24" t="s">
        <v>33</v>
      </c>
      <c r="D18" s="24" t="s">
        <v>33</v>
      </c>
      <c r="E18" s="24" t="s">
        <v>35</v>
      </c>
      <c r="F18" s="24" t="s">
        <v>37</v>
      </c>
      <c r="G18" s="24" t="s">
        <v>32</v>
      </c>
      <c r="H18" s="24" t="s">
        <v>35</v>
      </c>
      <c r="I18" s="24" t="s">
        <v>35</v>
      </c>
      <c r="J18" s="24" t="s">
        <v>30</v>
      </c>
      <c r="K18" s="24" t="s">
        <v>2</v>
      </c>
    </row>
    <row r="19" spans="2:38" ht="18" x14ac:dyDescent="0.25">
      <c r="B19" s="24" t="s">
        <v>41</v>
      </c>
      <c r="C19" s="24" t="s">
        <v>34</v>
      </c>
      <c r="D19" s="24" t="s">
        <v>34</v>
      </c>
      <c r="E19" s="24" t="s">
        <v>36</v>
      </c>
      <c r="F19" s="24" t="s">
        <v>38</v>
      </c>
      <c r="G19" s="24" t="s">
        <v>2</v>
      </c>
      <c r="H19" s="24" t="s">
        <v>38</v>
      </c>
      <c r="I19" s="24" t="s">
        <v>39</v>
      </c>
      <c r="J19" s="24" t="s">
        <v>2</v>
      </c>
      <c r="K19" s="24" t="s">
        <v>2</v>
      </c>
    </row>
    <row r="20" spans="2:38" ht="18" x14ac:dyDescent="0.25">
      <c r="B20" s="24" t="s">
        <v>42</v>
      </c>
      <c r="C20" s="24" t="s">
        <v>30</v>
      </c>
      <c r="D20" s="24" t="s">
        <v>32</v>
      </c>
      <c r="E20" s="24" t="s">
        <v>2</v>
      </c>
      <c r="F20" s="24" t="s">
        <v>2</v>
      </c>
      <c r="G20" s="24" t="s">
        <v>32</v>
      </c>
      <c r="H20" s="24" t="s">
        <v>2</v>
      </c>
      <c r="I20" s="24" t="s">
        <v>2</v>
      </c>
      <c r="J20" s="24" t="s">
        <v>35</v>
      </c>
      <c r="K20" s="24" t="s">
        <v>30</v>
      </c>
    </row>
    <row r="22" spans="2:38" ht="18" x14ac:dyDescent="0.25">
      <c r="B22" s="24" t="s">
        <v>48</v>
      </c>
      <c r="C22" s="24" t="s">
        <v>49</v>
      </c>
      <c r="D22" s="24" t="s">
        <v>50</v>
      </c>
      <c r="E22" s="24" t="s">
        <v>51</v>
      </c>
      <c r="F22" s="24" t="s">
        <v>52</v>
      </c>
      <c r="G22" s="24" t="s">
        <v>53</v>
      </c>
      <c r="H22" s="24" t="s">
        <v>54</v>
      </c>
      <c r="I22" s="24" t="s">
        <v>55</v>
      </c>
      <c r="J22" s="24" t="s">
        <v>56</v>
      </c>
      <c r="K22" s="24" t="s">
        <v>57</v>
      </c>
    </row>
    <row r="23" spans="2:38" ht="18" x14ac:dyDescent="0.25">
      <c r="B23" s="24" t="s">
        <v>3</v>
      </c>
      <c r="C23" s="24" t="s">
        <v>51</v>
      </c>
      <c r="D23" s="24" t="s">
        <v>51</v>
      </c>
      <c r="E23" s="24" t="s">
        <v>53</v>
      </c>
      <c r="F23" s="24" t="s">
        <v>55</v>
      </c>
      <c r="G23" s="24" t="s">
        <v>50</v>
      </c>
      <c r="H23" s="24" t="s">
        <v>53</v>
      </c>
      <c r="I23" s="24" t="s">
        <v>53</v>
      </c>
      <c r="J23" s="24" t="s">
        <v>49</v>
      </c>
      <c r="K23" s="24" t="s">
        <v>2</v>
      </c>
    </row>
    <row r="24" spans="2:38" ht="18" x14ac:dyDescent="0.25">
      <c r="B24" s="24" t="s">
        <v>4</v>
      </c>
      <c r="C24" s="24" t="s">
        <v>52</v>
      </c>
      <c r="D24" s="24" t="s">
        <v>52</v>
      </c>
      <c r="E24" s="24" t="s">
        <v>54</v>
      </c>
      <c r="F24" s="24" t="s">
        <v>56</v>
      </c>
      <c r="G24" s="24" t="s">
        <v>2</v>
      </c>
      <c r="H24" s="24" t="s">
        <v>56</v>
      </c>
      <c r="I24" s="24" t="s">
        <v>57</v>
      </c>
      <c r="J24" s="24" t="s">
        <v>2</v>
      </c>
      <c r="K24" s="24" t="s">
        <v>2</v>
      </c>
    </row>
    <row r="25" spans="2:38" ht="18" x14ac:dyDescent="0.25">
      <c r="B25" s="24" t="s">
        <v>17</v>
      </c>
      <c r="C25" s="24" t="s">
        <v>49</v>
      </c>
      <c r="D25" s="24" t="s">
        <v>50</v>
      </c>
      <c r="E25" s="24" t="s">
        <v>2</v>
      </c>
      <c r="F25" s="24" t="s">
        <v>2</v>
      </c>
      <c r="G25" s="24" t="s">
        <v>50</v>
      </c>
      <c r="H25" s="24" t="s">
        <v>2</v>
      </c>
      <c r="I25" s="24" t="s">
        <v>2</v>
      </c>
      <c r="J25" s="24" t="s">
        <v>53</v>
      </c>
      <c r="K25" s="24" t="s">
        <v>49</v>
      </c>
    </row>
    <row r="27" spans="2:38" ht="18" x14ac:dyDescent="0.25">
      <c r="B27" s="24" t="s">
        <v>63</v>
      </c>
      <c r="C27" s="33" t="s">
        <v>49</v>
      </c>
      <c r="D27" s="34"/>
      <c r="E27" s="34"/>
      <c r="F27" s="35"/>
      <c r="G27" s="33" t="s">
        <v>50</v>
      </c>
      <c r="H27" s="34"/>
      <c r="I27" s="34"/>
      <c r="J27" s="35"/>
      <c r="K27" s="33" t="s">
        <v>51</v>
      </c>
      <c r="L27" s="34"/>
      <c r="M27" s="34"/>
      <c r="N27" s="35"/>
      <c r="O27" s="33" t="s">
        <v>52</v>
      </c>
      <c r="P27" s="34"/>
      <c r="Q27" s="34"/>
      <c r="R27" s="35"/>
      <c r="S27" s="33" t="s">
        <v>53</v>
      </c>
      <c r="T27" s="34"/>
      <c r="U27" s="34"/>
      <c r="V27" s="35"/>
      <c r="W27" s="33" t="s">
        <v>54</v>
      </c>
      <c r="X27" s="34"/>
      <c r="Y27" s="34"/>
      <c r="Z27" s="35"/>
      <c r="AA27" s="33" t="s">
        <v>55</v>
      </c>
      <c r="AB27" s="34"/>
      <c r="AC27" s="34"/>
      <c r="AD27" s="35"/>
      <c r="AE27" s="33" t="s">
        <v>56</v>
      </c>
      <c r="AF27" s="34"/>
      <c r="AG27" s="34"/>
      <c r="AH27" s="35"/>
      <c r="AI27" s="33">
        <v>1000</v>
      </c>
      <c r="AJ27" s="34"/>
      <c r="AK27" s="34"/>
      <c r="AL27" s="35"/>
    </row>
    <row r="28" spans="2:38" ht="18" x14ac:dyDescent="0.25">
      <c r="B28" s="24" t="s">
        <v>43</v>
      </c>
      <c r="C28" s="24" t="s">
        <v>44</v>
      </c>
      <c r="D28" s="24" t="s">
        <v>45</v>
      </c>
      <c r="E28" s="24" t="s">
        <v>46</v>
      </c>
      <c r="F28" s="24" t="s">
        <v>47</v>
      </c>
      <c r="G28" s="24" t="s">
        <v>44</v>
      </c>
      <c r="H28" s="24" t="s">
        <v>45</v>
      </c>
      <c r="I28" s="24" t="s">
        <v>46</v>
      </c>
      <c r="J28" s="24" t="s">
        <v>47</v>
      </c>
      <c r="K28" s="24" t="s">
        <v>44</v>
      </c>
      <c r="L28" s="24" t="s">
        <v>45</v>
      </c>
      <c r="M28" s="24" t="s">
        <v>46</v>
      </c>
      <c r="N28" s="24" t="s">
        <v>47</v>
      </c>
      <c r="O28" s="24" t="s">
        <v>44</v>
      </c>
      <c r="P28" s="24" t="s">
        <v>45</v>
      </c>
      <c r="Q28" s="24" t="s">
        <v>46</v>
      </c>
      <c r="R28" s="24" t="s">
        <v>47</v>
      </c>
      <c r="S28" s="24" t="s">
        <v>44</v>
      </c>
      <c r="T28" s="24" t="s">
        <v>45</v>
      </c>
      <c r="U28" s="24" t="s">
        <v>46</v>
      </c>
      <c r="V28" s="24" t="s">
        <v>47</v>
      </c>
      <c r="W28" s="24" t="s">
        <v>44</v>
      </c>
      <c r="X28" s="24" t="s">
        <v>45</v>
      </c>
      <c r="Y28" s="24" t="s">
        <v>46</v>
      </c>
      <c r="Z28" s="24" t="s">
        <v>47</v>
      </c>
      <c r="AA28" s="24" t="s">
        <v>44</v>
      </c>
      <c r="AB28" s="24" t="s">
        <v>45</v>
      </c>
      <c r="AC28" s="24" t="s">
        <v>46</v>
      </c>
      <c r="AD28" s="24" t="s">
        <v>47</v>
      </c>
      <c r="AE28" s="24" t="s">
        <v>44</v>
      </c>
      <c r="AF28" s="24" t="s">
        <v>45</v>
      </c>
      <c r="AG28" s="24" t="s">
        <v>46</v>
      </c>
      <c r="AH28" s="24" t="s">
        <v>47</v>
      </c>
      <c r="AI28" s="24" t="s">
        <v>44</v>
      </c>
      <c r="AJ28" s="24" t="s">
        <v>45</v>
      </c>
      <c r="AK28" s="24" t="s">
        <v>46</v>
      </c>
      <c r="AL28" s="24" t="s">
        <v>47</v>
      </c>
    </row>
    <row r="29" spans="2:38" ht="18" x14ac:dyDescent="0.25">
      <c r="B29" s="24" t="s">
        <v>3</v>
      </c>
      <c r="C29" s="24">
        <v>0</v>
      </c>
      <c r="D29" s="24">
        <v>0</v>
      </c>
      <c r="E29" s="24">
        <v>1</v>
      </c>
      <c r="F29" s="24">
        <v>0</v>
      </c>
      <c r="G29" s="24">
        <v>0</v>
      </c>
      <c r="H29" s="24">
        <v>0</v>
      </c>
      <c r="I29" s="24">
        <v>1</v>
      </c>
      <c r="J29" s="24">
        <v>1</v>
      </c>
      <c r="K29" s="24">
        <v>0</v>
      </c>
      <c r="L29" s="24">
        <v>1</v>
      </c>
      <c r="M29" s="24">
        <v>1</v>
      </c>
      <c r="N29" s="24">
        <v>0</v>
      </c>
      <c r="O29" s="24">
        <v>0</v>
      </c>
      <c r="P29" s="24">
        <v>1</v>
      </c>
      <c r="Q29" s="24">
        <v>0</v>
      </c>
      <c r="R29" s="24">
        <v>1</v>
      </c>
      <c r="S29" s="24">
        <v>0</v>
      </c>
      <c r="T29" s="24">
        <v>1</v>
      </c>
      <c r="U29" s="24">
        <v>0</v>
      </c>
      <c r="V29" s="24">
        <v>1</v>
      </c>
      <c r="W29" s="24">
        <v>0</v>
      </c>
      <c r="X29" s="24">
        <v>0</v>
      </c>
      <c r="Y29" s="24">
        <v>0</v>
      </c>
      <c r="Z29" s="24">
        <v>1</v>
      </c>
      <c r="AA29" s="24">
        <v>0</v>
      </c>
      <c r="AB29" s="24">
        <v>0</v>
      </c>
      <c r="AC29" s="24">
        <v>1</v>
      </c>
      <c r="AD29" s="24">
        <v>0</v>
      </c>
      <c r="AE29" s="24">
        <v>0</v>
      </c>
      <c r="AF29" s="24">
        <v>1</v>
      </c>
      <c r="AG29" s="24">
        <v>1</v>
      </c>
      <c r="AH29" s="24">
        <v>1</v>
      </c>
      <c r="AI29" s="24" t="s">
        <v>2</v>
      </c>
      <c r="AJ29" s="24" t="s">
        <v>2</v>
      </c>
      <c r="AK29" s="24" t="s">
        <v>2</v>
      </c>
      <c r="AL29" s="24" t="s">
        <v>2</v>
      </c>
    </row>
    <row r="30" spans="2:38" ht="18" x14ac:dyDescent="0.25">
      <c r="B30" s="24" t="s">
        <v>4</v>
      </c>
      <c r="C30" s="24">
        <v>0</v>
      </c>
      <c r="D30" s="24">
        <v>0</v>
      </c>
      <c r="E30" s="24">
        <v>1</v>
      </c>
      <c r="F30" s="24">
        <v>1</v>
      </c>
      <c r="G30" s="24">
        <v>0</v>
      </c>
      <c r="H30" s="24">
        <v>0</v>
      </c>
      <c r="I30" s="24">
        <v>1</v>
      </c>
      <c r="J30" s="24">
        <v>0</v>
      </c>
      <c r="K30" s="24">
        <v>0</v>
      </c>
      <c r="L30" s="24">
        <v>1</v>
      </c>
      <c r="M30" s="24" t="s">
        <v>10</v>
      </c>
      <c r="N30" s="24">
        <v>1</v>
      </c>
      <c r="O30" s="24">
        <v>0</v>
      </c>
      <c r="P30" s="24">
        <v>1</v>
      </c>
      <c r="Q30" s="24">
        <v>0</v>
      </c>
      <c r="R30" s="24">
        <v>0</v>
      </c>
      <c r="S30" s="24" t="s">
        <v>2</v>
      </c>
      <c r="T30" s="24" t="s">
        <v>2</v>
      </c>
      <c r="U30" s="24" t="s">
        <v>2</v>
      </c>
      <c r="V30" s="24" t="s">
        <v>2</v>
      </c>
      <c r="W30" s="24">
        <v>0</v>
      </c>
      <c r="X30" s="24">
        <v>0</v>
      </c>
      <c r="Y30" s="24">
        <v>1</v>
      </c>
      <c r="Z30" s="24">
        <v>0</v>
      </c>
      <c r="AA30" s="24">
        <v>1</v>
      </c>
      <c r="AB30" s="24">
        <v>1</v>
      </c>
      <c r="AC30" s="24">
        <v>1</v>
      </c>
      <c r="AD30" s="24">
        <v>0</v>
      </c>
      <c r="AE30" s="24" t="s">
        <v>2</v>
      </c>
      <c r="AF30" s="24" t="s">
        <v>2</v>
      </c>
      <c r="AG30" s="24" t="s">
        <v>2</v>
      </c>
      <c r="AH30" s="24" t="s">
        <v>2</v>
      </c>
      <c r="AI30" s="24" t="s">
        <v>2</v>
      </c>
      <c r="AJ30" s="24" t="s">
        <v>2</v>
      </c>
      <c r="AK30" s="24" t="s">
        <v>2</v>
      </c>
      <c r="AL30" s="24" t="s">
        <v>2</v>
      </c>
    </row>
    <row r="31" spans="2:38" ht="18" x14ac:dyDescent="0.25">
      <c r="B31" s="24">
        <v>10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 t="s">
        <v>2</v>
      </c>
      <c r="L31" s="24" t="s">
        <v>2</v>
      </c>
      <c r="M31" s="24" t="s">
        <v>2</v>
      </c>
      <c r="N31" s="24" t="s">
        <v>2</v>
      </c>
      <c r="O31" s="24" t="s">
        <v>2</v>
      </c>
      <c r="P31" s="24" t="s">
        <v>2</v>
      </c>
      <c r="Q31" s="24" t="s">
        <v>2</v>
      </c>
      <c r="R31" s="24" t="s">
        <v>2</v>
      </c>
      <c r="S31" s="24">
        <v>0</v>
      </c>
      <c r="T31" s="24">
        <v>1</v>
      </c>
      <c r="U31" s="24">
        <v>0</v>
      </c>
      <c r="V31" s="24">
        <v>1</v>
      </c>
      <c r="W31" s="24" t="s">
        <v>2</v>
      </c>
      <c r="X31" s="24" t="s">
        <v>2</v>
      </c>
      <c r="Y31" s="24" t="s">
        <v>2</v>
      </c>
      <c r="Z31" s="24" t="s">
        <v>2</v>
      </c>
      <c r="AA31" s="24" t="s">
        <v>2</v>
      </c>
      <c r="AB31" s="24" t="s">
        <v>2</v>
      </c>
      <c r="AC31" s="24" t="s">
        <v>2</v>
      </c>
      <c r="AD31" s="24" t="s">
        <v>2</v>
      </c>
      <c r="AE31" s="24">
        <v>0</v>
      </c>
      <c r="AF31" s="24">
        <v>0</v>
      </c>
      <c r="AG31" s="24">
        <v>1</v>
      </c>
      <c r="AH31" s="24">
        <v>1</v>
      </c>
      <c r="AI31" s="24">
        <v>1</v>
      </c>
      <c r="AJ31" s="24">
        <v>0</v>
      </c>
      <c r="AK31" s="24">
        <v>0</v>
      </c>
      <c r="AL31" s="24">
        <v>0</v>
      </c>
    </row>
    <row r="34" spans="2:10" x14ac:dyDescent="0.25">
      <c r="B34" s="27"/>
      <c r="C34" s="27"/>
      <c r="D34" s="27" t="s">
        <v>19</v>
      </c>
      <c r="E34" s="27" t="s">
        <v>20</v>
      </c>
      <c r="F34" s="27" t="s">
        <v>21</v>
      </c>
      <c r="G34" s="27" t="s">
        <v>59</v>
      </c>
      <c r="H34" s="27" t="s">
        <v>60</v>
      </c>
      <c r="I34" s="27" t="s">
        <v>61</v>
      </c>
      <c r="J34" s="27" t="s">
        <v>18</v>
      </c>
    </row>
    <row r="35" spans="2:10" x14ac:dyDescent="0.25">
      <c r="B35" s="27"/>
      <c r="C35" s="27">
        <f>$F$29</f>
        <v>0</v>
      </c>
      <c r="D35" s="27">
        <f>J29</f>
        <v>1</v>
      </c>
      <c r="E35" s="27">
        <f>R29</f>
        <v>1</v>
      </c>
      <c r="F35" s="27">
        <f>N29</f>
        <v>0</v>
      </c>
      <c r="G35" s="27">
        <f>AD29</f>
        <v>0</v>
      </c>
      <c r="H35" s="27">
        <f>AH29</f>
        <v>1</v>
      </c>
      <c r="I35" s="27">
        <f>Z29</f>
        <v>1</v>
      </c>
      <c r="J35" s="27">
        <f>V29</f>
        <v>1</v>
      </c>
    </row>
    <row r="36" spans="2:10" x14ac:dyDescent="0.25">
      <c r="B36" s="27" t="s">
        <v>27</v>
      </c>
      <c r="C36" s="27">
        <f>F30</f>
        <v>1</v>
      </c>
      <c r="D36" s="27">
        <f>J30</f>
        <v>0</v>
      </c>
      <c r="E36" s="27">
        <f>R30</f>
        <v>0</v>
      </c>
      <c r="F36" s="27">
        <f>N30</f>
        <v>1</v>
      </c>
      <c r="G36" s="27">
        <f>AD30</f>
        <v>0</v>
      </c>
      <c r="H36" s="27" t="str">
        <f>AH30</f>
        <v>-</v>
      </c>
      <c r="I36" s="27">
        <f>Z30</f>
        <v>0</v>
      </c>
      <c r="J36" s="27" t="str">
        <f>V30</f>
        <v>-</v>
      </c>
    </row>
    <row r="37" spans="2:10" x14ac:dyDescent="0.25">
      <c r="B37" s="27" t="s">
        <v>62</v>
      </c>
      <c r="C37" s="28" t="s">
        <v>2</v>
      </c>
      <c r="D37" s="28" t="s">
        <v>2</v>
      </c>
      <c r="E37" s="28" t="s">
        <v>2</v>
      </c>
      <c r="F37" s="28" t="s">
        <v>2</v>
      </c>
      <c r="G37" s="28" t="s">
        <v>2</v>
      </c>
      <c r="H37" s="28" t="s">
        <v>2</v>
      </c>
      <c r="I37" s="28" t="s">
        <v>2</v>
      </c>
      <c r="J37" s="28" t="s">
        <v>2</v>
      </c>
    </row>
    <row r="38" spans="2:10" x14ac:dyDescent="0.25">
      <c r="B38" s="27" t="s">
        <v>26</v>
      </c>
      <c r="C38" s="27">
        <f>F31</f>
        <v>0</v>
      </c>
      <c r="D38" s="27">
        <f>J31</f>
        <v>0</v>
      </c>
      <c r="E38" s="27" t="str">
        <f>R31</f>
        <v>-</v>
      </c>
      <c r="F38" s="27" t="str">
        <f>N31</f>
        <v>-</v>
      </c>
      <c r="G38" s="27" t="str">
        <f>AD31</f>
        <v>-</v>
      </c>
      <c r="H38" s="27">
        <f>AH31</f>
        <v>1</v>
      </c>
      <c r="I38" s="27" t="str">
        <f>Z31</f>
        <v>-</v>
      </c>
      <c r="J38" s="27">
        <f>V31</f>
        <v>1</v>
      </c>
    </row>
    <row r="39" spans="2:10" x14ac:dyDescent="0.25">
      <c r="B39" s="27" t="s">
        <v>64</v>
      </c>
      <c r="C39" s="27">
        <f>AL31</f>
        <v>0</v>
      </c>
      <c r="D39" s="28"/>
      <c r="E39" s="28"/>
      <c r="F39" s="28"/>
      <c r="G39" s="28"/>
      <c r="H39" s="28"/>
      <c r="I39" s="28"/>
      <c r="J39" s="28"/>
    </row>
    <row r="40" spans="2:10" x14ac:dyDescent="0.25">
      <c r="B40" s="27" t="s">
        <v>65</v>
      </c>
      <c r="C40" s="28" t="s">
        <v>2</v>
      </c>
      <c r="D40" s="28" t="s">
        <v>2</v>
      </c>
      <c r="E40" s="28" t="s">
        <v>2</v>
      </c>
      <c r="F40" s="28" t="s">
        <v>2</v>
      </c>
      <c r="G40" s="28" t="s">
        <v>2</v>
      </c>
      <c r="H40" s="28" t="s">
        <v>2</v>
      </c>
      <c r="I40" s="28" t="s">
        <v>2</v>
      </c>
      <c r="J40" s="28" t="s">
        <v>2</v>
      </c>
    </row>
    <row r="41" spans="2:10" x14ac:dyDescent="0.25">
      <c r="B41" s="27" t="s">
        <v>66</v>
      </c>
      <c r="C41" s="27" t="str">
        <f>AL30</f>
        <v>-</v>
      </c>
      <c r="D41" s="28"/>
      <c r="E41" s="28"/>
      <c r="F41" s="28"/>
      <c r="G41" s="28"/>
      <c r="H41" s="28"/>
      <c r="I41" s="28"/>
      <c r="J41" s="28"/>
    </row>
    <row r="42" spans="2:10" x14ac:dyDescent="0.25">
      <c r="B42" s="27" t="s">
        <v>31</v>
      </c>
      <c r="C42" s="27" t="str">
        <f>AL29</f>
        <v>-</v>
      </c>
      <c r="D42" s="28"/>
      <c r="E42" s="28"/>
      <c r="F42" s="28"/>
      <c r="G42" s="28"/>
      <c r="H42" s="28"/>
      <c r="I42" s="28"/>
      <c r="J42" s="28"/>
    </row>
    <row r="46" spans="2:10" x14ac:dyDescent="0.25">
      <c r="B46" s="8" t="s">
        <v>15</v>
      </c>
    </row>
    <row r="47" spans="2:10" x14ac:dyDescent="0.25">
      <c r="B47" s="8" t="s">
        <v>11</v>
      </c>
    </row>
    <row r="48" spans="2:10" x14ac:dyDescent="0.25">
      <c r="B48" s="8" t="s">
        <v>12</v>
      </c>
    </row>
    <row r="49" spans="2:22" x14ac:dyDescent="0.25">
      <c r="B49" s="8" t="s">
        <v>13</v>
      </c>
    </row>
    <row r="50" spans="2:22" x14ac:dyDescent="0.25">
      <c r="B50" s="8" t="s">
        <v>14</v>
      </c>
    </row>
    <row r="51" spans="2:22" x14ac:dyDescent="0.25">
      <c r="B51" s="26" t="s">
        <v>71</v>
      </c>
    </row>
    <row r="53" spans="2:22" ht="18" x14ac:dyDescent="0.25">
      <c r="B53" s="40" t="s">
        <v>2</v>
      </c>
      <c r="C53" s="40" t="s">
        <v>9</v>
      </c>
      <c r="D53" s="40" t="s">
        <v>9</v>
      </c>
      <c r="E53" s="40" t="s">
        <v>2</v>
      </c>
      <c r="F53" s="40" t="s">
        <v>9</v>
      </c>
      <c r="G53" s="40" t="s">
        <v>10</v>
      </c>
      <c r="H53" s="40" t="s">
        <v>2</v>
      </c>
      <c r="I53" s="40" t="s">
        <v>9</v>
      </c>
      <c r="J53" s="40" t="s">
        <v>9</v>
      </c>
      <c r="K53" s="40" t="s">
        <v>2</v>
      </c>
      <c r="L53" s="40" t="s">
        <v>10</v>
      </c>
      <c r="M53" s="40" t="s">
        <v>9</v>
      </c>
      <c r="N53" s="40" t="s">
        <v>2</v>
      </c>
      <c r="O53" s="40" t="s">
        <v>9</v>
      </c>
      <c r="P53" s="40" t="s">
        <v>10</v>
      </c>
      <c r="Q53" s="40" t="s">
        <v>2</v>
      </c>
      <c r="R53" s="40" t="s">
        <v>9</v>
      </c>
      <c r="S53" s="40" t="s">
        <v>9</v>
      </c>
      <c r="T53" s="40" t="s">
        <v>2</v>
      </c>
      <c r="U53" s="40" t="s">
        <v>9</v>
      </c>
      <c r="V53" s="40" t="s">
        <v>9</v>
      </c>
    </row>
    <row r="54" spans="2:22" ht="18" x14ac:dyDescent="0.25">
      <c r="B54" s="37" t="s">
        <v>6</v>
      </c>
      <c r="C54" s="37"/>
      <c r="D54" s="37"/>
      <c r="E54" s="37" t="s">
        <v>5</v>
      </c>
      <c r="F54" s="37"/>
      <c r="G54" s="37"/>
      <c r="H54" s="37" t="s">
        <v>7</v>
      </c>
      <c r="I54" s="37"/>
      <c r="J54" s="37"/>
      <c r="K54" s="37" t="s">
        <v>8</v>
      </c>
      <c r="L54" s="37"/>
      <c r="M54" s="37"/>
      <c r="N54" s="37">
        <v>100</v>
      </c>
      <c r="O54" s="37"/>
      <c r="P54" s="37"/>
      <c r="Q54" s="37">
        <v>101</v>
      </c>
      <c r="R54" s="37"/>
      <c r="S54" s="37"/>
      <c r="T54" s="37">
        <v>110</v>
      </c>
      <c r="U54" s="37"/>
      <c r="V54" s="37"/>
    </row>
  </sheetData>
  <mergeCells count="16">
    <mergeCell ref="Q54:S54"/>
    <mergeCell ref="T54:V54"/>
    <mergeCell ref="B54:D54"/>
    <mergeCell ref="E54:G54"/>
    <mergeCell ref="H54:J54"/>
    <mergeCell ref="K54:M54"/>
    <mergeCell ref="N54:P54"/>
    <mergeCell ref="AA27:AD27"/>
    <mergeCell ref="AE27:AH27"/>
    <mergeCell ref="AI27:AL27"/>
    <mergeCell ref="C27:F27"/>
    <mergeCell ref="G27:J27"/>
    <mergeCell ref="K27:N27"/>
    <mergeCell ref="O27:R27"/>
    <mergeCell ref="S27:V27"/>
    <mergeCell ref="W27:Z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5A9FA-DBF5-4131-AEE8-FE1F3C473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3 бита</vt:lpstr>
      <vt:lpstr>Лист1</vt:lpstr>
      <vt:lpstr>4 бита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2025-11-22T20:59:32Z</dcterms:modified>
</cp:coreProperties>
</file>