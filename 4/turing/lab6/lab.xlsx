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4\turing\lab6\"/>
    </mc:Choice>
  </mc:AlternateContent>
  <xr:revisionPtr revIDLastSave="0" documentId="13_ncr:1_{212BA05C-5B88-435D-9BBA-560AE2AF5079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0" i="1" l="1"/>
  <c r="K49" i="1"/>
  <c r="J50" i="1"/>
  <c r="J49" i="1"/>
  <c r="I50" i="1"/>
  <c r="I49" i="1"/>
  <c r="H50" i="1"/>
  <c r="H49" i="1"/>
  <c r="E50" i="1"/>
  <c r="E49" i="1"/>
  <c r="D50" i="1"/>
  <c r="D49" i="1"/>
  <c r="C50" i="1"/>
  <c r="C49" i="1"/>
  <c r="B50" i="1"/>
  <c r="B49" i="1"/>
  <c r="C16" i="1"/>
  <c r="AC19" i="1"/>
  <c r="AC17" i="1"/>
  <c r="AC16" i="1"/>
  <c r="AB19" i="1"/>
  <c r="AB17" i="1"/>
  <c r="AB16" i="1"/>
  <c r="AA19" i="1"/>
  <c r="AA17" i="1"/>
  <c r="AA16" i="1"/>
  <c r="Z19" i="1"/>
  <c r="Z17" i="1"/>
  <c r="Z16" i="1"/>
  <c r="Y19" i="1"/>
  <c r="Y17" i="1"/>
  <c r="Y16" i="1"/>
  <c r="X19" i="1"/>
  <c r="X17" i="1"/>
  <c r="X16" i="1"/>
  <c r="W19" i="1"/>
  <c r="W17" i="1"/>
  <c r="W16" i="1"/>
  <c r="V19" i="1"/>
  <c r="V17" i="1"/>
  <c r="V16" i="1"/>
  <c r="S19" i="1"/>
  <c r="S17" i="1"/>
  <c r="S16" i="1"/>
  <c r="R19" i="1"/>
  <c r="R17" i="1"/>
  <c r="R16" i="1"/>
  <c r="Q19" i="1"/>
  <c r="Q17" i="1"/>
  <c r="Q16" i="1"/>
  <c r="P19" i="1"/>
  <c r="P17" i="1"/>
  <c r="P16" i="1"/>
  <c r="O19" i="1"/>
  <c r="O18" i="1"/>
  <c r="O17" i="1"/>
  <c r="O16" i="1"/>
  <c r="N19" i="1"/>
  <c r="N17" i="1"/>
  <c r="N16" i="1"/>
  <c r="M19" i="1"/>
  <c r="M17" i="1"/>
  <c r="M16" i="1"/>
  <c r="L19" i="1"/>
  <c r="L17" i="1"/>
  <c r="L16" i="1"/>
  <c r="U19" i="1"/>
  <c r="AC18" i="1"/>
  <c r="AB18" i="1"/>
  <c r="AA18" i="1"/>
  <c r="Z18" i="1"/>
  <c r="Y18" i="1"/>
  <c r="X18" i="1"/>
  <c r="W18" i="1"/>
  <c r="V18" i="1"/>
  <c r="U18" i="1"/>
  <c r="U17" i="1"/>
  <c r="U16" i="1"/>
  <c r="AC15" i="1"/>
  <c r="AB15" i="1"/>
  <c r="AA15" i="1"/>
  <c r="Z15" i="1"/>
  <c r="Y15" i="1"/>
  <c r="X15" i="1"/>
  <c r="W15" i="1"/>
  <c r="V15" i="1"/>
  <c r="U15" i="1"/>
  <c r="K19" i="1"/>
  <c r="S18" i="1"/>
  <c r="R18" i="1"/>
  <c r="Q18" i="1"/>
  <c r="P18" i="1"/>
  <c r="N18" i="1"/>
  <c r="M18" i="1"/>
  <c r="L18" i="1"/>
  <c r="K18" i="1"/>
  <c r="K17" i="1"/>
  <c r="K16" i="1"/>
  <c r="S15" i="1"/>
  <c r="R15" i="1"/>
  <c r="Q15" i="1"/>
  <c r="P15" i="1"/>
  <c r="O15" i="1"/>
  <c r="N15" i="1"/>
  <c r="M15" i="1"/>
  <c r="L15" i="1"/>
  <c r="K15" i="1"/>
  <c r="I19" i="1"/>
  <c r="H19" i="1"/>
  <c r="G19" i="1"/>
  <c r="F19" i="1"/>
  <c r="E19" i="1"/>
  <c r="D19" i="1"/>
  <c r="F17" i="1"/>
  <c r="G17" i="1"/>
  <c r="H17" i="1"/>
  <c r="I17" i="1"/>
  <c r="I18" i="1"/>
  <c r="I16" i="1"/>
  <c r="H16" i="1"/>
  <c r="G16" i="1"/>
  <c r="F16" i="1"/>
  <c r="E17" i="1"/>
  <c r="E16" i="1"/>
  <c r="D16" i="1"/>
  <c r="D17" i="1"/>
  <c r="C19" i="1"/>
  <c r="B19" i="1"/>
  <c r="C17" i="1"/>
  <c r="B17" i="1"/>
  <c r="B16" i="1"/>
  <c r="A15" i="1"/>
  <c r="B15" i="1"/>
  <c r="C15" i="1"/>
  <c r="D15" i="1"/>
  <c r="E15" i="1"/>
  <c r="F15" i="1"/>
  <c r="G15" i="1"/>
  <c r="H15" i="1"/>
  <c r="I15" i="1"/>
  <c r="A16" i="1"/>
  <c r="A17" i="1"/>
  <c r="A18" i="1"/>
  <c r="B18" i="1"/>
  <c r="C18" i="1"/>
  <c r="D18" i="1"/>
  <c r="E18" i="1"/>
  <c r="F18" i="1"/>
  <c r="G18" i="1"/>
  <c r="H18" i="1"/>
  <c r="A19" i="1"/>
</calcChain>
</file>

<file path=xl/sharedStrings.xml><?xml version="1.0" encoding="utf-8"?>
<sst xmlns="http://schemas.openxmlformats.org/spreadsheetml/2006/main" count="135" uniqueCount="31">
  <si>
    <t>Q3Q2Q1</t>
  </si>
  <si>
    <t>x2x1</t>
  </si>
  <si>
    <t>-</t>
  </si>
  <si>
    <t>00</t>
  </si>
  <si>
    <t>01</t>
  </si>
  <si>
    <t>001</t>
  </si>
  <si>
    <t>000</t>
  </si>
  <si>
    <t>010</t>
  </si>
  <si>
    <t>011</t>
  </si>
  <si>
    <t>0</t>
  </si>
  <si>
    <t>1</t>
  </si>
  <si>
    <t>x1 = x1</t>
  </si>
  <si>
    <t>x2 = Q2</t>
  </si>
  <si>
    <t>x3 = x2</t>
  </si>
  <si>
    <t>x4 = Q3</t>
  </si>
  <si>
    <t>x0 = Q1</t>
  </si>
  <si>
    <t>B</t>
  </si>
  <si>
    <t>10</t>
  </si>
  <si>
    <t>Q3</t>
  </si>
  <si>
    <t>Q1</t>
  </si>
  <si>
    <t>Q1Q2</t>
  </si>
  <si>
    <t>Q2</t>
  </si>
  <si>
    <t>Входной символ</t>
  </si>
  <si>
    <t>Состояние</t>
  </si>
  <si>
    <t>a</t>
  </si>
  <si>
    <t>Выходной символ</t>
  </si>
  <si>
    <t>x2</t>
  </si>
  <si>
    <t>x1</t>
  </si>
  <si>
    <t>y2</t>
  </si>
  <si>
    <t>y1</t>
  </si>
  <si>
    <t>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</si>
</sst>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0" borderId="2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1" fillId="0" borderId="2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NumberFormat="1" applyFont="1"/>
    <xf numFmtId="0" fontId="1" fillId="0" borderId="2" xfId="0" applyNumberFormat="1" applyFont="1" applyBorder="1"/>
    <xf numFmtId="0" fontId="1" fillId="0" borderId="1" xfId="0" applyNumberFormat="1" applyFont="1" applyBorder="1"/>
    <xf numFmtId="0" fontId="1" fillId="0" borderId="0" xfId="0" applyNumberFormat="1" applyFont="1" applyBorder="1"/>
    <xf numFmtId="49" fontId="1" fillId="0" borderId="1" xfId="0" applyNumberFormat="1" applyFont="1" applyBorder="1"/>
    <xf numFmtId="49" fontId="1" fillId="0" borderId="0" xfId="0" applyNumberFormat="1" applyFont="1"/>
    <xf numFmtId="49" fontId="1" fillId="0" borderId="2" xfId="0" applyNumberFormat="1" applyFont="1" applyBorder="1"/>
    <xf numFmtId="0" fontId="1" fillId="0" borderId="10" xfId="0" applyNumberFormat="1" applyFont="1" applyBorder="1"/>
    <xf numFmtId="0" fontId="1" fillId="0" borderId="11" xfId="0" applyNumberFormat="1" applyFont="1" applyBorder="1"/>
    <xf numFmtId="0" fontId="1" fillId="0" borderId="2" xfId="0" applyNumberFormat="1" applyFont="1" applyFill="1" applyBorder="1"/>
    <xf numFmtId="0" fontId="1" fillId="0" borderId="10" xfId="0" applyNumberFormat="1" applyFont="1" applyFill="1" applyBorder="1"/>
    <xf numFmtId="0" fontId="1" fillId="0" borderId="1" xfId="0" applyNumberFormat="1" applyFont="1" applyBorder="1" applyAlignment="1">
      <alignment horizontal="center" vertical="center"/>
    </xf>
    <xf numFmtId="49" fontId="1" fillId="0" borderId="10" xfId="0" applyNumberFormat="1" applyFont="1" applyBorder="1"/>
    <xf numFmtId="49" fontId="1" fillId="0" borderId="11" xfId="0" applyNumberFormat="1" applyFont="1" applyBorder="1"/>
    <xf numFmtId="49" fontId="1" fillId="0" borderId="2" xfId="0" applyNumberFormat="1" applyFont="1" applyFill="1" applyBorder="1"/>
    <xf numFmtId="49" fontId="1" fillId="0" borderId="10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40821</xdr:colOff>
      <xdr:row>20</xdr:row>
      <xdr:rowOff>27215</xdr:rowOff>
    </xdr:from>
    <xdr:to>
      <xdr:col>19</xdr:col>
      <xdr:colOff>353786</xdr:colOff>
      <xdr:row>39</xdr:row>
      <xdr:rowOff>95860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28DA78-74D5-B022-857A-A80EA6D6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4571" y="3388179"/>
          <a:ext cx="5973536" cy="3688145"/>
        </a:xfrm>
        <a:prstGeom prst="rect">
          <a:avLst/>
        </a:prstGeom>
      </xdr:spPr>
    </xdr:pic>
    <xdr:clientData/>
  </xdr:twoCellAnchor>
  <xdr:twoCellAnchor editAs="oneCell">
    <xdr:from>
      <xdr:col>20</xdr:col>
      <xdr:colOff>176892</xdr:colOff>
      <xdr:row>20</xdr:row>
      <xdr:rowOff>54428</xdr:rowOff>
    </xdr:from>
    <xdr:to>
      <xdr:col>29</xdr:col>
      <xdr:colOff>68036</xdr:colOff>
      <xdr:row>39</xdr:row>
      <xdr:rowOff>112259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1411B0A-7AD3-E863-2CBE-7DD005245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93535" y="3415392"/>
          <a:ext cx="5633358" cy="3677331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544288</xdr:colOff>
      <xdr:row>20</xdr:row>
      <xdr:rowOff>0</xdr:rowOff>
    </xdr:from>
    <xdr:to>
      <xdr:col>6</xdr:col>
      <xdr:colOff>762000</xdr:colOff>
      <xdr:row>40</xdr:row>
      <xdr:rowOff>95616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FC347C7-B108-59A5-2B16-8C81CEB09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88" y="3360964"/>
          <a:ext cx="5510891" cy="3905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"/>
  <sheetViews>
    <sheetView tabSelected="1" topLeftCell="I35" zoomScale="70" zoomScaleNormal="70" workbookViewId="0">
      <selection activeCell="G58" sqref="G58:H60"/>
    </sheetView>
  </sheetViews>
  <sheetFormatPr defaultRowHeight="15" x14ac:dyDescent="0.25"/>
  <cols>
    <col min="1" max="1" width="26.28515625" style="11" customWidth="1"/>
    <col min="2" max="2" width="14.85546875" style="11" customWidth="1"/>
    <col min="3" max="3" width="9.140625" style="11"/>
    <col min="4" max="4" width="10.5703125" style="11" customWidth="1"/>
    <col min="5" max="6" width="9.140625" style="11"/>
    <col min="7" max="7" width="11.5703125" style="11" customWidth="1"/>
    <col min="8" max="16" width="9.140625" style="11"/>
    <col min="17" max="17" width="11.42578125" style="11" customWidth="1"/>
    <col min="18" max="21" width="9.140625" style="11"/>
    <col min="22" max="22" width="9.140625" style="11" customWidth="1"/>
    <col min="23" max="26" width="9.140625" style="11"/>
    <col min="27" max="27" width="12.5703125" style="11" customWidth="1"/>
    <col min="28" max="16384" width="9.140625" style="11"/>
  </cols>
  <sheetData>
    <row r="1" spans="1:29" s="16" customFormat="1" ht="18" x14ac:dyDescent="0.25">
      <c r="B1" s="31"/>
      <c r="C1" s="31" t="s">
        <v>26</v>
      </c>
      <c r="D1" s="31" t="s">
        <v>27</v>
      </c>
      <c r="G1" s="31"/>
      <c r="H1" s="31" t="s">
        <v>28</v>
      </c>
      <c r="I1" s="31" t="s">
        <v>29</v>
      </c>
    </row>
    <row r="2" spans="1:29" ht="18" x14ac:dyDescent="0.25">
      <c r="B2" s="31">
        <v>0</v>
      </c>
      <c r="C2" s="31">
        <v>0</v>
      </c>
      <c r="D2" s="31">
        <v>0</v>
      </c>
      <c r="G2" s="31">
        <v>0</v>
      </c>
      <c r="H2" s="31">
        <v>0</v>
      </c>
      <c r="I2" s="31">
        <v>0</v>
      </c>
    </row>
    <row r="3" spans="1:29" ht="18" x14ac:dyDescent="0.25">
      <c r="B3" s="31">
        <v>1</v>
      </c>
      <c r="C3" s="31">
        <v>0</v>
      </c>
      <c r="D3" s="31">
        <v>1</v>
      </c>
      <c r="G3" s="31">
        <v>1</v>
      </c>
      <c r="H3" s="31">
        <v>0</v>
      </c>
      <c r="I3" s="31">
        <v>1</v>
      </c>
    </row>
    <row r="4" spans="1:29" ht="18" x14ac:dyDescent="0.25">
      <c r="B4" s="31" t="s">
        <v>24</v>
      </c>
      <c r="C4" s="31">
        <v>1</v>
      </c>
      <c r="D4" s="31">
        <v>0</v>
      </c>
      <c r="G4" s="31" t="s">
        <v>16</v>
      </c>
      <c r="H4" s="31">
        <v>1</v>
      </c>
      <c r="I4" s="31">
        <v>0</v>
      </c>
    </row>
    <row r="8" spans="1:29" ht="18" x14ac:dyDescent="0.25">
      <c r="A8" s="16"/>
      <c r="B8" s="1" t="s">
        <v>2</v>
      </c>
      <c r="C8" s="17" t="s">
        <v>9</v>
      </c>
      <c r="D8" s="18" t="s">
        <v>9</v>
      </c>
      <c r="E8" s="5" t="s">
        <v>2</v>
      </c>
      <c r="F8" s="6" t="s">
        <v>9</v>
      </c>
      <c r="G8" s="7" t="s">
        <v>10</v>
      </c>
      <c r="H8" s="5" t="s">
        <v>2</v>
      </c>
      <c r="I8" s="6" t="s">
        <v>9</v>
      </c>
      <c r="J8" s="7" t="s">
        <v>9</v>
      </c>
      <c r="K8" s="5" t="s">
        <v>2</v>
      </c>
      <c r="L8" s="6" t="s">
        <v>10</v>
      </c>
      <c r="M8" s="7" t="s">
        <v>9</v>
      </c>
      <c r="N8" s="5" t="s">
        <v>2</v>
      </c>
      <c r="O8" s="6" t="s">
        <v>9</v>
      </c>
      <c r="P8" s="7" t="s">
        <v>10</v>
      </c>
      <c r="Q8" s="5" t="s">
        <v>2</v>
      </c>
      <c r="R8" s="6" t="s">
        <v>9</v>
      </c>
      <c r="S8" s="7" t="s">
        <v>9</v>
      </c>
      <c r="T8" s="5" t="s">
        <v>2</v>
      </c>
      <c r="U8" s="6" t="s">
        <v>9</v>
      </c>
      <c r="V8" s="7" t="s">
        <v>9</v>
      </c>
      <c r="W8" s="5" t="s">
        <v>2</v>
      </c>
      <c r="X8" s="6" t="s">
        <v>2</v>
      </c>
      <c r="Y8" s="7" t="s">
        <v>2</v>
      </c>
      <c r="Z8" s="16"/>
      <c r="AA8" s="16"/>
      <c r="AB8" s="16"/>
      <c r="AC8" s="16"/>
    </row>
    <row r="9" spans="1:29" ht="18.75" thickBot="1" x14ac:dyDescent="0.3">
      <c r="A9" s="2" t="s">
        <v>0</v>
      </c>
      <c r="B9" s="8" t="s">
        <v>6</v>
      </c>
      <c r="C9" s="9"/>
      <c r="D9" s="10"/>
      <c r="E9" s="8" t="s">
        <v>5</v>
      </c>
      <c r="F9" s="9"/>
      <c r="G9" s="10"/>
      <c r="H9" s="8" t="s">
        <v>7</v>
      </c>
      <c r="I9" s="9"/>
      <c r="J9" s="10"/>
      <c r="K9" s="8" t="s">
        <v>8</v>
      </c>
      <c r="L9" s="9"/>
      <c r="M9" s="10"/>
      <c r="N9" s="8">
        <v>100</v>
      </c>
      <c r="O9" s="9"/>
      <c r="P9" s="10"/>
      <c r="Q9" s="8">
        <v>101</v>
      </c>
      <c r="R9" s="9"/>
      <c r="S9" s="10"/>
      <c r="T9" s="8">
        <v>110</v>
      </c>
      <c r="U9" s="9"/>
      <c r="V9" s="10"/>
      <c r="W9" s="8">
        <v>111</v>
      </c>
      <c r="X9" s="9"/>
      <c r="Y9" s="10"/>
    </row>
    <row r="10" spans="1:29" ht="18.75" thickBot="1" x14ac:dyDescent="0.3">
      <c r="A10" s="12" t="s">
        <v>1</v>
      </c>
      <c r="B10" s="13">
        <v>3</v>
      </c>
      <c r="C10" s="14">
        <v>2</v>
      </c>
      <c r="D10" s="14">
        <v>1</v>
      </c>
      <c r="E10" s="14">
        <v>3</v>
      </c>
      <c r="F10" s="14">
        <v>2</v>
      </c>
      <c r="G10" s="14">
        <v>1</v>
      </c>
      <c r="H10" s="14">
        <v>3</v>
      </c>
      <c r="I10" s="14">
        <v>2</v>
      </c>
      <c r="J10" s="14">
        <v>1</v>
      </c>
      <c r="K10" s="14">
        <v>3</v>
      </c>
      <c r="L10" s="14">
        <v>2</v>
      </c>
      <c r="M10" s="14">
        <v>1</v>
      </c>
      <c r="N10" s="14">
        <v>3</v>
      </c>
      <c r="O10" s="14">
        <v>2</v>
      </c>
      <c r="P10" s="14">
        <v>1</v>
      </c>
      <c r="Q10" s="14">
        <v>3</v>
      </c>
      <c r="R10" s="14">
        <v>2</v>
      </c>
      <c r="S10" s="14">
        <v>1</v>
      </c>
      <c r="T10" s="14">
        <v>3</v>
      </c>
      <c r="U10" s="14">
        <v>2</v>
      </c>
      <c r="V10" s="14">
        <v>1</v>
      </c>
      <c r="W10" s="14">
        <v>3</v>
      </c>
      <c r="X10" s="14">
        <v>2</v>
      </c>
      <c r="Y10" s="15">
        <v>1</v>
      </c>
    </row>
    <row r="11" spans="1:29" ht="18" x14ac:dyDescent="0.25">
      <c r="A11" s="2">
        <v>0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1</v>
      </c>
      <c r="T11" s="3" t="s">
        <v>2</v>
      </c>
      <c r="U11" s="3" t="s">
        <v>2</v>
      </c>
      <c r="V11" s="3" t="s">
        <v>2</v>
      </c>
      <c r="W11" s="3" t="s">
        <v>2</v>
      </c>
      <c r="X11" s="3" t="s">
        <v>2</v>
      </c>
      <c r="Y11" s="3" t="s">
        <v>2</v>
      </c>
    </row>
    <row r="12" spans="1:29" ht="18" x14ac:dyDescent="0.25">
      <c r="A12" s="2" t="s">
        <v>4</v>
      </c>
      <c r="B12" s="2">
        <v>0</v>
      </c>
      <c r="C12" s="2">
        <v>1</v>
      </c>
      <c r="D12" s="2">
        <v>1</v>
      </c>
      <c r="E12" s="2">
        <v>0</v>
      </c>
      <c r="F12" s="2">
        <v>1</v>
      </c>
      <c r="G12" s="2">
        <v>1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2" t="s">
        <v>2</v>
      </c>
      <c r="X12" s="2" t="s">
        <v>2</v>
      </c>
      <c r="Y12" s="2" t="s">
        <v>2</v>
      </c>
    </row>
    <row r="13" spans="1:29" ht="18" x14ac:dyDescent="0.25">
      <c r="A13" s="2">
        <v>10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>
        <v>0</v>
      </c>
      <c r="O13" s="2">
        <v>0</v>
      </c>
      <c r="P13" s="2">
        <v>1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 s="2" t="s">
        <v>2</v>
      </c>
      <c r="W13" s="2" t="s">
        <v>2</v>
      </c>
      <c r="X13" s="2" t="s">
        <v>2</v>
      </c>
      <c r="Y13" s="2" t="s">
        <v>2</v>
      </c>
    </row>
    <row r="14" spans="1:29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9" ht="36" x14ac:dyDescent="0.25">
      <c r="A15" s="4" t="str">
        <f>""</f>
        <v/>
      </c>
      <c r="B15" s="4" t="str">
        <f>""</f>
        <v/>
      </c>
      <c r="C15" s="2" t="str">
        <f>"Q1"</f>
        <v>Q1</v>
      </c>
      <c r="D15" s="2" t="str">
        <f>"Q1Q2"</f>
        <v>Q1Q2</v>
      </c>
      <c r="E15" s="2" t="str">
        <f>"Q2"</f>
        <v>Q2</v>
      </c>
      <c r="F15" s="2" t="str">
        <f>"Q2Q3"</f>
        <v>Q2Q3</v>
      </c>
      <c r="G15" s="2" t="str">
        <f>"Q1Q2Q3"</f>
        <v>Q1Q2Q3</v>
      </c>
      <c r="H15" s="2" t="str">
        <f>"Q1Q3"</f>
        <v>Q1Q3</v>
      </c>
      <c r="I15" s="2" t="str">
        <f>"Q3"</f>
        <v>Q3</v>
      </c>
      <c r="J15" s="16"/>
      <c r="K15" s="4" t="str">
        <f>""</f>
        <v/>
      </c>
      <c r="L15" s="4" t="str">
        <f>""</f>
        <v/>
      </c>
      <c r="M15" s="2" t="str">
        <f>"Q1"</f>
        <v>Q1</v>
      </c>
      <c r="N15" s="2" t="str">
        <f>"Q1Q2"</f>
        <v>Q1Q2</v>
      </c>
      <c r="O15" s="2" t="str">
        <f>"Q2"</f>
        <v>Q2</v>
      </c>
      <c r="P15" s="2" t="str">
        <f>"Q2Q3"</f>
        <v>Q2Q3</v>
      </c>
      <c r="Q15" s="2" t="str">
        <f>"Q1Q2Q3"</f>
        <v>Q1Q2Q3</v>
      </c>
      <c r="R15" s="2" t="str">
        <f>"Q1Q3"</f>
        <v>Q1Q3</v>
      </c>
      <c r="S15" s="2" t="str">
        <f>"Q3"</f>
        <v>Q3</v>
      </c>
      <c r="U15" s="4" t="str">
        <f>""</f>
        <v/>
      </c>
      <c r="V15" s="4" t="str">
        <f>""</f>
        <v/>
      </c>
      <c r="W15" s="2" t="str">
        <f>"Q1"</f>
        <v>Q1</v>
      </c>
      <c r="X15" s="2" t="str">
        <f>"Q1Q2"</f>
        <v>Q1Q2</v>
      </c>
      <c r="Y15" s="2" t="str">
        <f>"Q2"</f>
        <v>Q2</v>
      </c>
      <c r="Z15" s="2" t="str">
        <f>"Q2Q3"</f>
        <v>Q2Q3</v>
      </c>
      <c r="AA15" s="2" t="str">
        <f>"Q1Q2Q3"</f>
        <v>Q1Q2Q3</v>
      </c>
      <c r="AB15" s="2" t="str">
        <f>"Q1Q3"</f>
        <v>Q1Q3</v>
      </c>
      <c r="AC15" s="2" t="str">
        <f>"Q3"</f>
        <v>Q3</v>
      </c>
    </row>
    <row r="16" spans="1:29" ht="18" x14ac:dyDescent="0.25">
      <c r="A16" s="4" t="str">
        <f>""</f>
        <v/>
      </c>
      <c r="B16" s="2">
        <f>$D$11</f>
        <v>0</v>
      </c>
      <c r="C16" s="2">
        <f>$G$11</f>
        <v>0</v>
      </c>
      <c r="D16" s="2">
        <f>$M$11</f>
        <v>0</v>
      </c>
      <c r="E16" s="2">
        <f>$J$11</f>
        <v>0</v>
      </c>
      <c r="F16" s="2" t="str">
        <f>$V$11</f>
        <v>-</v>
      </c>
      <c r="G16" s="2" t="str">
        <f>$Y$11</f>
        <v>-</v>
      </c>
      <c r="H16" s="2">
        <f>$S$11</f>
        <v>1</v>
      </c>
      <c r="I16" s="2">
        <f>$P$11</f>
        <v>1</v>
      </c>
      <c r="J16" s="16"/>
      <c r="K16" s="4" t="str">
        <f>""</f>
        <v/>
      </c>
      <c r="L16" s="2">
        <f>$C$11</f>
        <v>1</v>
      </c>
      <c r="M16" s="2">
        <f>$F$11</f>
        <v>1</v>
      </c>
      <c r="N16" s="2">
        <f>$L$11</f>
        <v>0</v>
      </c>
      <c r="O16" s="2">
        <f>$I$11</f>
        <v>0</v>
      </c>
      <c r="P16" s="2" t="str">
        <f>$U$11</f>
        <v>-</v>
      </c>
      <c r="Q16" s="2" t="str">
        <f>$X$11</f>
        <v>-</v>
      </c>
      <c r="R16" s="2">
        <f>$R$11</f>
        <v>0</v>
      </c>
      <c r="S16" s="2">
        <f>$O$11</f>
        <v>0</v>
      </c>
      <c r="U16" s="4" t="str">
        <f>""</f>
        <v/>
      </c>
      <c r="V16" s="2">
        <f>$B$11</f>
        <v>0</v>
      </c>
      <c r="W16" s="2">
        <f>$E$11</f>
        <v>0</v>
      </c>
      <c r="X16" s="2">
        <f>$K$11</f>
        <v>1</v>
      </c>
      <c r="Y16" s="2">
        <f>$H$11</f>
        <v>1</v>
      </c>
      <c r="Z16" s="2" t="str">
        <f>$T$11</f>
        <v>-</v>
      </c>
      <c r="AA16" s="2" t="str">
        <f>$W$11</f>
        <v>-</v>
      </c>
      <c r="AB16" s="2">
        <f>$Q$11</f>
        <v>0</v>
      </c>
      <c r="AC16" s="2">
        <f>$N$11</f>
        <v>0</v>
      </c>
    </row>
    <row r="17" spans="1:29" ht="18" x14ac:dyDescent="0.25">
      <c r="A17" s="2" t="str">
        <f>"x1"</f>
        <v>x1</v>
      </c>
      <c r="B17" s="2">
        <f>$D$12</f>
        <v>1</v>
      </c>
      <c r="C17" s="2">
        <f>$G$12</f>
        <v>1</v>
      </c>
      <c r="D17" s="2">
        <f>$M$12</f>
        <v>1</v>
      </c>
      <c r="E17" s="2">
        <f>$J$12</f>
        <v>0</v>
      </c>
      <c r="F17" s="2">
        <f>$V$12</f>
        <v>1</v>
      </c>
      <c r="G17" s="2" t="str">
        <f>$Y$12</f>
        <v>-</v>
      </c>
      <c r="H17" s="2">
        <f>$S$12</f>
        <v>0</v>
      </c>
      <c r="I17" s="2">
        <f>$P$12</f>
        <v>0</v>
      </c>
      <c r="J17" s="16"/>
      <c r="K17" s="2" t="str">
        <f>"x1"</f>
        <v>x1</v>
      </c>
      <c r="L17" s="3">
        <f>$C$12</f>
        <v>1</v>
      </c>
      <c r="M17" s="2">
        <f>$F$12</f>
        <v>1</v>
      </c>
      <c r="N17" s="2">
        <f>$L$12</f>
        <v>0</v>
      </c>
      <c r="O17" s="2">
        <f>$I$12</f>
        <v>1</v>
      </c>
      <c r="P17" s="2">
        <f>$U$12</f>
        <v>0</v>
      </c>
      <c r="Q17" s="2" t="str">
        <f>$X$12</f>
        <v>-</v>
      </c>
      <c r="R17" s="2">
        <f>$R$12</f>
        <v>0</v>
      </c>
      <c r="S17" s="2">
        <f>$O$12</f>
        <v>0</v>
      </c>
      <c r="U17" s="2" t="str">
        <f>"x1"</f>
        <v>x1</v>
      </c>
      <c r="V17" s="3">
        <f>$B$12</f>
        <v>0</v>
      </c>
      <c r="W17" s="2">
        <f>$E$12</f>
        <v>0</v>
      </c>
      <c r="X17" s="2">
        <f>$K$12</f>
        <v>1</v>
      </c>
      <c r="Y17" s="2">
        <f>$H$12</f>
        <v>1</v>
      </c>
      <c r="Z17" s="2">
        <f>$T$12</f>
        <v>0</v>
      </c>
      <c r="AA17" s="2" t="str">
        <f>$W$12</f>
        <v>-</v>
      </c>
      <c r="AB17" s="2">
        <f>$Q$12</f>
        <v>1</v>
      </c>
      <c r="AC17" s="2">
        <f>$N$12</f>
        <v>0</v>
      </c>
    </row>
    <row r="18" spans="1:29" ht="18" x14ac:dyDescent="0.25">
      <c r="A18" s="2" t="str">
        <f>"x1x2"</f>
        <v>x1x2</v>
      </c>
      <c r="B18" s="2" t="str">
        <f t="shared" ref="B18:H18" si="0">"-"</f>
        <v>-</v>
      </c>
      <c r="C18" s="2" t="str">
        <f t="shared" si="0"/>
        <v>-</v>
      </c>
      <c r="D18" s="2" t="str">
        <f t="shared" si="0"/>
        <v>-</v>
      </c>
      <c r="E18" s="2" t="str">
        <f t="shared" si="0"/>
        <v>-</v>
      </c>
      <c r="F18" s="2" t="str">
        <f t="shared" si="0"/>
        <v>-</v>
      </c>
      <c r="G18" s="2" t="str">
        <f t="shared" si="0"/>
        <v>-</v>
      </c>
      <c r="H18" s="2" t="str">
        <f t="shared" si="0"/>
        <v>-</v>
      </c>
      <c r="I18" s="2" t="str">
        <f>"-"</f>
        <v>-</v>
      </c>
      <c r="J18" s="16"/>
      <c r="K18" s="2" t="str">
        <f>"x1x2"</f>
        <v>x1x2</v>
      </c>
      <c r="L18" s="2" t="str">
        <f t="shared" ref="L18:R18" si="1">"-"</f>
        <v>-</v>
      </c>
      <c r="M18" s="2" t="str">
        <f t="shared" si="1"/>
        <v>-</v>
      </c>
      <c r="N18" s="2" t="str">
        <f t="shared" si="1"/>
        <v>-</v>
      </c>
      <c r="O18" s="2" t="str">
        <f>"-"</f>
        <v>-</v>
      </c>
      <c r="P18" s="2" t="str">
        <f t="shared" si="1"/>
        <v>-</v>
      </c>
      <c r="Q18" s="2" t="str">
        <f t="shared" si="1"/>
        <v>-</v>
      </c>
      <c r="R18" s="2" t="str">
        <f t="shared" si="1"/>
        <v>-</v>
      </c>
      <c r="S18" s="2" t="str">
        <f>"-"</f>
        <v>-</v>
      </c>
      <c r="U18" s="2" t="str">
        <f>"x1x2"</f>
        <v>x1x2</v>
      </c>
      <c r="V18" s="2" t="str">
        <f t="shared" ref="V18:AB18" si="2">"-"</f>
        <v>-</v>
      </c>
      <c r="W18" s="2" t="str">
        <f t="shared" si="2"/>
        <v>-</v>
      </c>
      <c r="X18" s="2" t="str">
        <f t="shared" si="2"/>
        <v>-</v>
      </c>
      <c r="Y18" s="2" t="str">
        <f t="shared" si="2"/>
        <v>-</v>
      </c>
      <c r="Z18" s="2" t="str">
        <f t="shared" si="2"/>
        <v>-</v>
      </c>
      <c r="AA18" s="2" t="str">
        <f t="shared" si="2"/>
        <v>-</v>
      </c>
      <c r="AB18" s="2" t="str">
        <f t="shared" si="2"/>
        <v>-</v>
      </c>
      <c r="AC18" s="2" t="str">
        <f>"-"</f>
        <v>-</v>
      </c>
    </row>
    <row r="19" spans="1:29" ht="18" x14ac:dyDescent="0.25">
      <c r="A19" s="2" t="str">
        <f>"x2"</f>
        <v>x2</v>
      </c>
      <c r="B19" s="2">
        <f>$D$13</f>
        <v>1</v>
      </c>
      <c r="C19" s="2">
        <f>$G$13</f>
        <v>0</v>
      </c>
      <c r="D19" s="2" t="str">
        <f>$M$13</f>
        <v>-</v>
      </c>
      <c r="E19" s="2" t="str">
        <f>$J$13</f>
        <v>-</v>
      </c>
      <c r="F19" s="2" t="str">
        <f>$V$13</f>
        <v>-</v>
      </c>
      <c r="G19" s="2" t="str">
        <f>$Y$13</f>
        <v>-</v>
      </c>
      <c r="H19" s="2" t="str">
        <f>$S$13</f>
        <v>-</v>
      </c>
      <c r="I19" s="2">
        <f>$P$13</f>
        <v>1</v>
      </c>
      <c r="J19" s="16"/>
      <c r="K19" s="2" t="str">
        <f>"x2"</f>
        <v>x2</v>
      </c>
      <c r="L19" s="2">
        <f>$C$13</f>
        <v>0</v>
      </c>
      <c r="M19" s="2">
        <f>$F$13</f>
        <v>0</v>
      </c>
      <c r="N19" s="2" t="str">
        <f>$L$13</f>
        <v>-</v>
      </c>
      <c r="O19" s="2" t="str">
        <f>$I$13</f>
        <v>-</v>
      </c>
      <c r="P19" s="2" t="str">
        <f>$U$13</f>
        <v>-</v>
      </c>
      <c r="Q19" s="2" t="str">
        <f>$X$13</f>
        <v>-</v>
      </c>
      <c r="R19" s="2" t="str">
        <f>$R$13</f>
        <v>-</v>
      </c>
      <c r="S19" s="2">
        <f>$O$13</f>
        <v>0</v>
      </c>
      <c r="U19" s="2" t="str">
        <f>"x2"</f>
        <v>x2</v>
      </c>
      <c r="V19" s="2">
        <f>$B$13</f>
        <v>0</v>
      </c>
      <c r="W19" s="2">
        <f>$E$13</f>
        <v>0</v>
      </c>
      <c r="X19" s="2" t="str">
        <f>$K$13</f>
        <v>-</v>
      </c>
      <c r="Y19" s="2" t="str">
        <f>$H$13</f>
        <v>-</v>
      </c>
      <c r="Z19" s="2" t="str">
        <f>$T$13</f>
        <v>-</v>
      </c>
      <c r="AA19" s="2" t="str">
        <f>$W$13</f>
        <v>-</v>
      </c>
      <c r="AB19" s="2" t="str">
        <f>$Q$13</f>
        <v>-</v>
      </c>
      <c r="AC19" s="2">
        <f>$N$13</f>
        <v>0</v>
      </c>
    </row>
    <row r="20" spans="1:29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9" x14ac:dyDescent="0.25">
      <c r="A21" s="16"/>
      <c r="B21" s="16"/>
      <c r="C21" s="16"/>
      <c r="D21" s="16"/>
      <c r="E21" s="16"/>
      <c r="F21" s="16"/>
      <c r="G21" s="16"/>
      <c r="H21" s="16"/>
      <c r="I21" s="16"/>
    </row>
    <row r="22" spans="1:29" x14ac:dyDescent="0.25">
      <c r="A22" s="16"/>
      <c r="B22" s="16"/>
      <c r="C22" s="16"/>
      <c r="D22" s="16"/>
      <c r="E22" s="16"/>
      <c r="F22" s="16"/>
      <c r="G22" s="16"/>
      <c r="H22" s="16"/>
      <c r="I22" s="16"/>
    </row>
    <row r="23" spans="1:29" x14ac:dyDescent="0.25">
      <c r="A23" s="16"/>
      <c r="B23" s="16"/>
      <c r="C23" s="16"/>
      <c r="D23" s="16"/>
      <c r="E23" s="16"/>
      <c r="F23" s="16"/>
      <c r="G23" s="16"/>
      <c r="H23" s="16"/>
      <c r="I23" s="16"/>
    </row>
    <row r="24" spans="1:29" x14ac:dyDescent="0.25">
      <c r="A24" s="16"/>
      <c r="B24" s="16"/>
      <c r="C24" s="16"/>
      <c r="D24" s="16"/>
      <c r="E24" s="16"/>
      <c r="F24" s="16"/>
      <c r="G24" s="16"/>
      <c r="H24" s="16"/>
      <c r="I24" s="16"/>
    </row>
    <row r="25" spans="1:29" x14ac:dyDescent="0.25">
      <c r="A25" s="16"/>
      <c r="B25" s="16"/>
      <c r="C25" s="16"/>
      <c r="D25" s="16"/>
      <c r="E25" s="16"/>
      <c r="F25" s="16"/>
      <c r="G25" s="16"/>
      <c r="H25" s="16"/>
      <c r="I25" s="16"/>
    </row>
    <row r="26" spans="1:29" x14ac:dyDescent="0.25">
      <c r="A26" s="16"/>
      <c r="B26" s="16"/>
      <c r="C26" s="16"/>
      <c r="D26" s="16"/>
      <c r="E26" s="16"/>
      <c r="F26" s="16"/>
      <c r="G26" s="16"/>
      <c r="H26" s="16"/>
      <c r="I26" s="16"/>
    </row>
    <row r="27" spans="1:29" x14ac:dyDescent="0.25">
      <c r="A27" s="16"/>
      <c r="B27" s="16"/>
      <c r="C27" s="16"/>
      <c r="D27" s="16"/>
      <c r="E27" s="16"/>
      <c r="F27" s="16"/>
      <c r="G27" s="16"/>
      <c r="H27" s="16"/>
      <c r="I27" s="16"/>
    </row>
    <row r="28" spans="1:29" x14ac:dyDescent="0.25">
      <c r="A28" s="16"/>
      <c r="B28" s="16"/>
      <c r="C28" s="16"/>
      <c r="D28" s="16"/>
      <c r="E28" s="16"/>
      <c r="F28" s="16"/>
      <c r="G28" s="16"/>
      <c r="H28" s="16"/>
      <c r="I28" s="16"/>
    </row>
    <row r="29" spans="1:29" x14ac:dyDescent="0.25">
      <c r="A29" s="16"/>
      <c r="B29" s="16"/>
      <c r="C29" s="16"/>
      <c r="D29" s="16"/>
      <c r="E29" s="16"/>
      <c r="F29" s="16"/>
      <c r="G29" s="16"/>
      <c r="H29" s="16"/>
      <c r="I29" s="16"/>
    </row>
    <row r="30" spans="1:29" x14ac:dyDescent="0.25">
      <c r="A30" s="16"/>
      <c r="B30" s="16"/>
      <c r="C30" s="16"/>
      <c r="D30" s="16"/>
      <c r="E30" s="16"/>
      <c r="F30" s="16"/>
      <c r="G30" s="16"/>
      <c r="H30" s="16"/>
      <c r="I30" s="16"/>
    </row>
    <row r="31" spans="1:29" x14ac:dyDescent="0.25">
      <c r="A31" s="16"/>
      <c r="B31" s="16"/>
      <c r="C31" s="16"/>
      <c r="D31" s="16"/>
      <c r="E31" s="16"/>
      <c r="F31" s="16"/>
      <c r="G31" s="16"/>
      <c r="H31" s="16"/>
      <c r="I31" s="16"/>
    </row>
    <row r="32" spans="1:29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42" spans="1:13" x14ac:dyDescent="0.25">
      <c r="A42" s="11" t="s">
        <v>15</v>
      </c>
    </row>
    <row r="43" spans="1:13" x14ac:dyDescent="0.25">
      <c r="A43" s="11" t="s">
        <v>11</v>
      </c>
    </row>
    <row r="44" spans="1:13" x14ac:dyDescent="0.25">
      <c r="A44" s="11" t="s">
        <v>12</v>
      </c>
      <c r="M44" s="11">
        <v>0</v>
      </c>
    </row>
    <row r="45" spans="1:13" x14ac:dyDescent="0.25">
      <c r="A45" s="11" t="s">
        <v>13</v>
      </c>
      <c r="M45" s="11">
        <v>1</v>
      </c>
    </row>
    <row r="46" spans="1:13" x14ac:dyDescent="0.25">
      <c r="A46" s="11" t="s">
        <v>14</v>
      </c>
      <c r="M46" s="11" t="s">
        <v>24</v>
      </c>
    </row>
    <row r="48" spans="1:13" ht="18" x14ac:dyDescent="0.25">
      <c r="A48" s="20"/>
      <c r="B48" s="20"/>
      <c r="C48" s="21" t="s">
        <v>19</v>
      </c>
      <c r="D48" s="22" t="s">
        <v>20</v>
      </c>
      <c r="E48" s="22" t="s">
        <v>21</v>
      </c>
      <c r="F48" s="20"/>
      <c r="G48" s="20"/>
      <c r="H48" s="20"/>
      <c r="I48" s="21" t="s">
        <v>19</v>
      </c>
      <c r="J48" s="22" t="s">
        <v>20</v>
      </c>
      <c r="K48" s="22" t="s">
        <v>21</v>
      </c>
    </row>
    <row r="49" spans="1:24" ht="18" x14ac:dyDescent="0.25">
      <c r="A49" s="23"/>
      <c r="B49" s="24" t="str">
        <f>$D$8</f>
        <v>0</v>
      </c>
      <c r="C49" s="25" t="str">
        <f>$G$8</f>
        <v>1</v>
      </c>
      <c r="D49" s="24" t="str">
        <f>$M$8</f>
        <v>0</v>
      </c>
      <c r="E49" s="24" t="str">
        <f>$J$8</f>
        <v>0</v>
      </c>
      <c r="F49" s="20"/>
      <c r="G49" s="23"/>
      <c r="H49" s="24" t="str">
        <f>$C$8</f>
        <v>0</v>
      </c>
      <c r="I49" s="25" t="str">
        <f>$F$8</f>
        <v>0</v>
      </c>
      <c r="J49" s="24" t="str">
        <f>$L$8</f>
        <v>1</v>
      </c>
      <c r="K49" s="24" t="str">
        <f>$I$8</f>
        <v>0</v>
      </c>
    </row>
    <row r="50" spans="1:24" ht="18" x14ac:dyDescent="0.25">
      <c r="A50" s="22" t="s">
        <v>18</v>
      </c>
      <c r="B50" s="24" t="str">
        <f>$P$8</f>
        <v>1</v>
      </c>
      <c r="C50" s="26" t="str">
        <f>$S$8</f>
        <v>0</v>
      </c>
      <c r="D50" s="24" t="str">
        <f>$Y$8</f>
        <v>-</v>
      </c>
      <c r="E50" s="24" t="str">
        <f>$V$8</f>
        <v>0</v>
      </c>
      <c r="F50" s="20"/>
      <c r="G50" s="22" t="s">
        <v>18</v>
      </c>
      <c r="H50" s="24" t="str">
        <f>$O$8</f>
        <v>0</v>
      </c>
      <c r="I50" s="26" t="str">
        <f>$R$8</f>
        <v>0</v>
      </c>
      <c r="J50" s="24" t="str">
        <f>$X$8</f>
        <v>-</v>
      </c>
      <c r="K50" s="24" t="str">
        <f>$U$8</f>
        <v>0</v>
      </c>
    </row>
    <row r="53" spans="1:24" ht="18" x14ac:dyDescent="0.25">
      <c r="A53" s="20" t="s">
        <v>22</v>
      </c>
      <c r="C53" s="21">
        <v>0</v>
      </c>
      <c r="D53" s="27">
        <v>0</v>
      </c>
      <c r="E53" s="28">
        <v>0</v>
      </c>
      <c r="F53" s="21">
        <v>0</v>
      </c>
      <c r="G53" s="27">
        <v>1</v>
      </c>
      <c r="H53" s="28">
        <v>1</v>
      </c>
      <c r="I53" s="21">
        <v>1</v>
      </c>
      <c r="J53" s="27">
        <v>0</v>
      </c>
      <c r="K53" s="27">
        <v>0</v>
      </c>
      <c r="L53" s="28" t="s">
        <v>24</v>
      </c>
      <c r="M53" s="29">
        <v>1</v>
      </c>
      <c r="N53" s="30">
        <v>0</v>
      </c>
      <c r="O53" s="30">
        <v>1</v>
      </c>
      <c r="P53" s="28" t="s">
        <v>24</v>
      </c>
      <c r="Q53" s="29">
        <v>1</v>
      </c>
      <c r="R53" s="30">
        <v>1</v>
      </c>
      <c r="S53" s="30">
        <v>0</v>
      </c>
      <c r="T53" s="28" t="s">
        <v>24</v>
      </c>
      <c r="U53" s="21">
        <v>1</v>
      </c>
      <c r="V53" s="27">
        <v>1</v>
      </c>
      <c r="W53" s="27">
        <v>1</v>
      </c>
      <c r="X53" s="28" t="s">
        <v>24</v>
      </c>
    </row>
    <row r="54" spans="1:24" ht="18" x14ac:dyDescent="0.25">
      <c r="A54" s="20" t="s">
        <v>23</v>
      </c>
      <c r="B54" s="20" t="s">
        <v>30</v>
      </c>
    </row>
    <row r="55" spans="1:24" ht="18" x14ac:dyDescent="0.25">
      <c r="A55" s="20" t="s">
        <v>25</v>
      </c>
      <c r="C55" s="21">
        <v>0</v>
      </c>
      <c r="D55" s="27">
        <v>1</v>
      </c>
      <c r="E55" s="28">
        <v>1</v>
      </c>
      <c r="F55" s="21">
        <v>0</v>
      </c>
      <c r="G55" s="27">
        <v>0</v>
      </c>
      <c r="H55" s="28">
        <v>1</v>
      </c>
      <c r="I55" s="21" t="s">
        <v>16</v>
      </c>
      <c r="J55" s="27">
        <v>1</v>
      </c>
      <c r="K55" s="27">
        <v>1</v>
      </c>
      <c r="L55" s="28">
        <v>0</v>
      </c>
      <c r="M55" s="29" t="s">
        <v>16</v>
      </c>
      <c r="N55" s="30">
        <v>1</v>
      </c>
      <c r="O55" s="30">
        <v>0</v>
      </c>
      <c r="P55" s="28">
        <v>0</v>
      </c>
      <c r="Q55" s="29" t="s">
        <v>16</v>
      </c>
      <c r="R55" s="30">
        <v>0</v>
      </c>
      <c r="S55" s="30">
        <v>1</v>
      </c>
      <c r="T55" s="28">
        <v>0</v>
      </c>
      <c r="U55" s="21" t="s">
        <v>16</v>
      </c>
      <c r="V55" s="27">
        <v>0</v>
      </c>
      <c r="W55" s="27">
        <v>1</v>
      </c>
      <c r="X55" s="28">
        <v>1</v>
      </c>
    </row>
    <row r="58" spans="1:24" ht="18" x14ac:dyDescent="0.25">
      <c r="A58" s="20" t="s">
        <v>22</v>
      </c>
      <c r="C58" s="26" t="s">
        <v>3</v>
      </c>
      <c r="D58" s="32" t="s">
        <v>3</v>
      </c>
      <c r="E58" s="33" t="s">
        <v>3</v>
      </c>
      <c r="F58" s="26" t="s">
        <v>3</v>
      </c>
      <c r="G58" s="32" t="s">
        <v>4</v>
      </c>
      <c r="H58" s="33" t="s">
        <v>4</v>
      </c>
      <c r="I58" s="26" t="s">
        <v>4</v>
      </c>
      <c r="J58" s="32" t="s">
        <v>3</v>
      </c>
      <c r="K58" s="32" t="s">
        <v>3</v>
      </c>
      <c r="L58" s="33" t="s">
        <v>17</v>
      </c>
      <c r="M58" s="34" t="s">
        <v>4</v>
      </c>
      <c r="N58" s="35" t="s">
        <v>3</v>
      </c>
      <c r="O58" s="35" t="s">
        <v>4</v>
      </c>
      <c r="P58" s="33" t="s">
        <v>17</v>
      </c>
      <c r="Q58" s="34" t="s">
        <v>4</v>
      </c>
      <c r="R58" s="35" t="s">
        <v>4</v>
      </c>
      <c r="S58" s="35" t="s">
        <v>3</v>
      </c>
      <c r="T58" s="33" t="s">
        <v>17</v>
      </c>
      <c r="U58" s="26" t="s">
        <v>4</v>
      </c>
      <c r="V58" s="32" t="s">
        <v>4</v>
      </c>
      <c r="W58" s="32" t="s">
        <v>4</v>
      </c>
      <c r="X58" s="33" t="s">
        <v>17</v>
      </c>
    </row>
    <row r="59" spans="1:24" ht="18" x14ac:dyDescent="0.25">
      <c r="A59" s="20" t="s">
        <v>23</v>
      </c>
      <c r="B59" s="20" t="s">
        <v>30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8" x14ac:dyDescent="0.25">
      <c r="A60" s="20" t="s">
        <v>25</v>
      </c>
      <c r="C60" s="26" t="s">
        <v>3</v>
      </c>
      <c r="D60" s="32" t="s">
        <v>4</v>
      </c>
      <c r="E60" s="33" t="s">
        <v>4</v>
      </c>
      <c r="F60" s="26" t="s">
        <v>3</v>
      </c>
      <c r="G60" s="32" t="s">
        <v>3</v>
      </c>
      <c r="H60" s="33" t="s">
        <v>4</v>
      </c>
      <c r="I60" s="26" t="s">
        <v>17</v>
      </c>
      <c r="J60" s="32" t="s">
        <v>4</v>
      </c>
      <c r="K60" s="32" t="s">
        <v>4</v>
      </c>
      <c r="L60" s="33" t="s">
        <v>3</v>
      </c>
      <c r="M60" s="34" t="s">
        <v>17</v>
      </c>
      <c r="N60" s="35" t="s">
        <v>4</v>
      </c>
      <c r="O60" s="35" t="s">
        <v>3</v>
      </c>
      <c r="P60" s="33" t="s">
        <v>3</v>
      </c>
      <c r="Q60" s="34" t="s">
        <v>17</v>
      </c>
      <c r="R60" s="35" t="s">
        <v>3</v>
      </c>
      <c r="S60" s="35" t="s">
        <v>4</v>
      </c>
      <c r="T60" s="33" t="s">
        <v>3</v>
      </c>
      <c r="U60" s="26" t="s">
        <v>17</v>
      </c>
      <c r="V60" s="32" t="s">
        <v>3</v>
      </c>
      <c r="W60" s="32" t="s">
        <v>4</v>
      </c>
      <c r="X60" s="33" t="s">
        <v>4</v>
      </c>
    </row>
  </sheetData>
  <mergeCells count="8">
    <mergeCell ref="T9:V9"/>
    <mergeCell ref="W9:Y9"/>
    <mergeCell ref="B9:D9"/>
    <mergeCell ref="E9:G9"/>
    <mergeCell ref="H9:J9"/>
    <mergeCell ref="K9:M9"/>
    <mergeCell ref="N9:P9"/>
    <mergeCell ref="Q9:S9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2025-11-22T00:31:42Z</dcterms:modified>
</cp:coreProperties>
</file>